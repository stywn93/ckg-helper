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3E54A841-A7B4-8A47-AE83-B0A4F6819669}" xr6:coauthVersionLast="47" xr6:coauthVersionMax="47" xr10:uidLastSave="{00000000-0000-0000-0000-000000000000}"/>
  <bookViews>
    <workbookView xWindow="0" yWindow="660" windowWidth="30240" windowHeight="17240" activeTab="9" xr2:uid="{00000000-000D-0000-FFFF-FFFF00000000}"/>
  </bookViews>
  <sheets>
    <sheet name="persiapan" sheetId="1" r:id="rId1"/>
    <sheet name="pendaftaran_umum" sheetId="2" r:id="rId2"/>
    <sheet name="konfirm_kehadiran" sheetId="3" r:id="rId3"/>
    <sheet name="anak" sheetId="4" r:id="rId4"/>
    <sheet name="remaja" sheetId="5" r:id="rId5"/>
    <sheet name="dewasa" sheetId="6" r:id="rId6"/>
    <sheet name="lansia" sheetId="7" r:id="rId7"/>
    <sheet name="pendaftaran_sekolah" sheetId="8" r:id="rId8"/>
    <sheet name="konfirm_kehadiran_sekolah" sheetId="9" r:id="rId9"/>
    <sheet name="pelayanan_sekolah" sheetId="10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F2" i="1"/>
  <c r="E2" i="1"/>
  <c r="D2" i="1"/>
  <c r="B2" i="1"/>
  <c r="A2" i="1"/>
</calcChain>
</file>

<file path=xl/sharedStrings.xml><?xml version="1.0" encoding="utf-8"?>
<sst xmlns="http://schemas.openxmlformats.org/spreadsheetml/2006/main" count="1556" uniqueCount="596">
  <si>
    <t>batas_awal</t>
  </si>
  <si>
    <t>batas_akhir</t>
  </si>
  <si>
    <t>cari_by_nik</t>
  </si>
  <si>
    <t>nik</t>
  </si>
  <si>
    <t>nama</t>
  </si>
  <si>
    <t>status</t>
  </si>
  <si>
    <t>skrining_demografi</t>
  </si>
  <si>
    <t>status_perkawinan</t>
  </si>
  <si>
    <t>rencana_menikah</t>
  </si>
  <si>
    <t>sedang_hamil</t>
  </si>
  <si>
    <t>disabilitas</t>
  </si>
  <si>
    <t>skrining_kanker_usus_mandiri</t>
  </si>
  <si>
    <t>keluarga_kanker_usus</t>
  </si>
  <si>
    <t>merokok</t>
  </si>
  <si>
    <t>usia_skor_apcs_mandiri</t>
  </si>
  <si>
    <t>jenis_kelamin_apcs_mandiri</t>
  </si>
  <si>
    <t>skrining_risiko_tb</t>
  </si>
  <si>
    <t>batuk_tidak_sembuh</t>
  </si>
  <si>
    <t>skrining_hati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</si>
  <si>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</si>
  <si>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</si>
  <si>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</si>
  <si>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</si>
  <si>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</si>
  <si>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</si>
  <si>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</si>
  <si>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</si>
  <si>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</si>
  <si>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skrining_kanker_leher_rahim</t>
  </si>
  <si>
    <t>pernah_seks</t>
  </si>
  <si>
    <t>skrining_kesehatan_jiwa</t>
  </si>
  <si>
    <t>tidak_bersemangat</t>
  </si>
  <si>
    <t>merasa_tertekan</t>
  </si>
  <si>
    <t>gugup_cemas</t>
  </si>
  <si>
    <t>khawatir</t>
  </si>
  <si>
    <t>skrining_kanker_paru</t>
  </si>
  <si>
    <t>merokok_setahun_terakhir</t>
  </si>
  <si>
    <t>merokok_15_tahun</t>
  </si>
  <si>
    <t>terpapar_rokok</t>
  </si>
  <si>
    <t>kanker_paru_keluarga</t>
  </si>
  <si>
    <t>gejala_batuk</t>
  </si>
  <si>
    <t>tbc</t>
  </si>
  <si>
    <t>skrining_perilaku_merokok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</si>
  <si>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</si>
  <si>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</si>
  <si>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</si>
  <si>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</si>
  <si>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</si>
  <si>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</si>
  <si>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</si>
  <si>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</si>
  <si>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imunisasi_tetanus</t>
  </si>
  <si>
    <t>skrining_aktivitas_fisik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</si>
  <si>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</si>
  <si>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</si>
  <si>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</si>
  <si>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</si>
  <si>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</si>
  <si>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</si>
  <si>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</si>
  <si>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</si>
  <si>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</si>
  <si>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</si>
  <si>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</si>
  <si>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</si>
  <si>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</si>
  <si>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</si>
  <si>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</si>
  <si>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</si>
  <si>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</si>
  <si>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</si>
  <si>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skrining_imunisasi_tetanus</t>
  </si>
  <si>
    <t>riwayat_imunisasi_tetanus</t>
  </si>
  <si>
    <t>skrining_gizi</t>
  </si>
  <si>
    <t>berat_badan</t>
  </si>
  <si>
    <t>tinggi_badan</t>
  </si>
  <si>
    <t>lingkar_perut</t>
  </si>
  <si>
    <t>skrining_gula_darah_dewasa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</si>
  <si>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</si>
  <si>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</si>
  <si>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</si>
  <si>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</si>
  <si>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</si>
  <si>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</si>
  <si>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skrining_tekanan_darah_dewasa</t>
  </si>
  <si>
    <t>pernah_hipertensi</t>
  </si>
  <si>
    <t>total_bulan_hipertensi</t>
  </si>
  <si>
    <t>sistolik</t>
  </si>
  <si>
    <t>diastolik</t>
  </si>
  <si>
    <t>sistolik_2</t>
  </si>
  <si>
    <t>diastolik_2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</si>
  <si>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</si>
  <si>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</si>
  <si>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</si>
  <si>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</si>
  <si>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</si>
  <si>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</si>
  <si>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</si>
  <si>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skrining_tb</t>
  </si>
  <si>
    <t>kontak_tbc</t>
  </si>
  <si>
    <t>jenis_tbc</t>
  </si>
  <si>
    <t>metode_pemeriksaan_tbc</t>
  </si>
  <si>
    <t>hasil_pemeriksaan_tbc</t>
  </si>
  <si>
    <t>skrining_frambusia</t>
  </si>
  <si>
    <t>ada_papul</t>
  </si>
  <si>
    <t>hasil_pemeriksaan_rdt</t>
  </si>
  <si>
    <t>skrining_kusta</t>
  </si>
  <si>
    <t>bercak_putih</t>
  </si>
  <si>
    <t>hasil_bta</t>
  </si>
  <si>
    <t>skrining_skabies</t>
  </si>
  <si>
    <t>ada_ruam</t>
  </si>
  <si>
    <t>skrining_telinga_mata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</si>
  <si>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</si>
  <si>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</si>
  <si>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</si>
  <si>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</si>
  <si>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</si>
  <si>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</si>
  <si>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</si>
  <si>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</si>
  <si>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</si>
  <si>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</si>
  <si>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skrining_karies</t>
  </si>
  <si>
    <t>gigi_karies</t>
  </si>
  <si>
    <t>gigi_hilang</t>
  </si>
  <si>
    <t>skrining_periodontal</t>
  </si>
  <si>
    <t>penyakit_periodontal</t>
  </si>
  <si>
    <t>gigi_goyang</t>
  </si>
  <si>
    <t>skrining_ppok</t>
  </si>
  <si>
    <t>usia_skor_puma</t>
  </si>
  <si>
    <t>ppok_merokok</t>
  </si>
  <si>
    <t>bungkus_per_tahun</t>
  </si>
  <si>
    <t>nafas_pendek</t>
  </si>
  <si>
    <t>mempunyai_dahak</t>
  </si>
  <si>
    <t>batuk_tanpa_flu</t>
  </si>
  <si>
    <t>periksa_spirometri</t>
  </si>
  <si>
    <t>skrining_kadar_co</t>
  </si>
  <si>
    <t>kadar_co</t>
  </si>
  <si>
    <t>skrining_lipid</t>
  </si>
  <si>
    <t>kolesterol</t>
  </si>
  <si>
    <t>hdl</t>
  </si>
  <si>
    <t>ldl</t>
  </si>
  <si>
    <t>trigliserida</t>
  </si>
  <si>
    <t>skrining_fibrosis</t>
  </si>
  <si>
    <t>sgot</t>
  </si>
  <si>
    <t>trombosit</t>
  </si>
  <si>
    <t>skrining_hepatitis</t>
  </si>
  <si>
    <t>hepatitis_b</t>
  </si>
  <si>
    <t>hepatitis_c</t>
  </si>
  <si>
    <t>vl_hepatitis_c</t>
  </si>
  <si>
    <t>skrining_fungsi_ginjal</t>
  </si>
  <si>
    <t>kreatinin</t>
  </si>
  <si>
    <t>ureum</t>
  </si>
  <si>
    <t>usia</t>
  </si>
  <si>
    <t>e_lfg</t>
  </si>
  <si>
    <t>skrining_kerusakan_ginjal</t>
  </si>
  <si>
    <t>albumin</t>
  </si>
  <si>
    <t>kreatinin_urin</t>
  </si>
  <si>
    <t>skrining_kanker_payudara</t>
  </si>
  <si>
    <t>pemeriksaan_payudara</t>
  </si>
  <si>
    <t>hasil_sadanis</t>
  </si>
  <si>
    <t>hasil_usg_payudara</t>
  </si>
  <si>
    <t>skrining_hpv_dna</t>
  </si>
  <si>
    <t>pemeriksaan_hpv_dna</t>
  </si>
  <si>
    <t>hpv_16</t>
  </si>
  <si>
    <t>hpv_18</t>
  </si>
  <si>
    <t>hpv_52</t>
  </si>
  <si>
    <t>hpv_enkogenik_lain</t>
  </si>
  <si>
    <t>skrining_inspekulo_iva</t>
  </si>
  <si>
    <t>inspekulo</t>
  </si>
  <si>
    <t>iva</t>
  </si>
  <si>
    <t>skrining_jantung</t>
  </si>
  <si>
    <t>ekg</t>
  </si>
  <si>
    <t>pemeriksaan_ekg</t>
  </si>
  <si>
    <t>skrining_kanker_usus</t>
  </si>
  <si>
    <t>bersedia_colok_dubur</t>
  </si>
  <si>
    <t>colok_dubur</t>
  </si>
  <si>
    <t>darah_samar</t>
  </si>
  <si>
    <t>jenis_kelamin_skor_apcs</t>
  </si>
  <si>
    <t>usia_skor_apcs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</si>
  <si>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</si>
  <si>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</si>
  <si>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</si>
  <si>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</si>
  <si>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</si>
  <si>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</si>
  <si>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</si>
  <si>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</si>
  <si>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skrining_catin_perempuan</t>
  </si>
  <si>
    <t>hemoglobin</t>
  </si>
  <si>
    <t>skrining_hiv</t>
  </si>
  <si>
    <t>rapid_test</t>
  </si>
  <si>
    <t>r2_hiv</t>
  </si>
  <si>
    <t>r1_hiv_ulang</t>
  </si>
  <si>
    <t>r3_hiv</t>
  </si>
  <si>
    <t>skrining_sifilis</t>
  </si>
  <si>
    <t>rapid_test_sifilis</t>
  </si>
  <si>
    <t>Ya</t>
  </si>
  <si>
    <t>SUCCESS</t>
  </si>
  <si>
    <t>Menikah</t>
  </si>
  <si>
    <t>Tidak</t>
  </si>
  <si>
    <t>Non disabilitas</t>
  </si>
  <si>
    <t>50 - 69 tahun</t>
  </si>
  <si>
    <t>Tidak batuk</t>
  </si>
  <si>
    <t>Tidak sama sekali</t>
  </si>
  <si>
    <t>Rokok elektronik (vape, IQOS, dll)</t>
  </si>
  <si>
    <t>1 s.d &lt;10 tahun lalu</t>
  </si>
  <si>
    <t>Pernah imunisasi tetanus minimal dua kali</t>
  </si>
  <si>
    <t>Tidak tahu atau tidak ingat</t>
  </si>
  <si>
    <t>60</t>
  </si>
  <si>
    <t>90</t>
  </si>
  <si>
    <t>12</t>
  </si>
  <si>
    <t>229</t>
  </si>
  <si>
    <t>130</t>
  </si>
  <si>
    <t>117</t>
  </si>
  <si>
    <t>71</t>
  </si>
  <si>
    <t>Normal</t>
  </si>
  <si>
    <t>Tidak ada</t>
  </si>
  <si>
    <t>Bakteriologis</t>
  </si>
  <si>
    <t>Tidak dilakukan</t>
  </si>
  <si>
    <t>Mtb not detected (Neg)</t>
  </si>
  <si>
    <t>Tidak Ada</t>
  </si>
  <si>
    <t>Non Reaktif</t>
  </si>
  <si>
    <t>Bukan kusta</t>
  </si>
  <si>
    <t>Tidak ada serumen impaksi</t>
  </si>
  <si>
    <t>Tidak ada infeksi telinga</t>
  </si>
  <si>
    <t>Normal (visus 6/6 - 6/12)</t>
  </si>
  <si>
    <t>Visus membaik</t>
  </si>
  <si>
    <t>Kelainan refraksi ringan (0.50 - 3.00 Dioptri)</t>
  </si>
  <si>
    <t>50-59</t>
  </si>
  <si>
    <t>&lt;20 bungkus per tahun</t>
  </si>
  <si>
    <t>147</t>
  </si>
  <si>
    <t>49</t>
  </si>
  <si>
    <t>103</t>
  </si>
  <si>
    <t>86</t>
  </si>
  <si>
    <t>45</t>
  </si>
  <si>
    <t>22</t>
  </si>
  <si>
    <t>HBsAg Non Reaktif</t>
  </si>
  <si>
    <t>Anti HCV Non Reaktif</t>
  </si>
  <si>
    <t>VL HCV RNA Negatif</t>
  </si>
  <si>
    <t>56</t>
  </si>
  <si>
    <t>10</t>
  </si>
  <si>
    <t>9</t>
  </si>
  <si>
    <t>SADANIS</t>
  </si>
  <si>
    <t>HPV Negatif</t>
  </si>
  <si>
    <t>Negatif</t>
  </si>
  <si>
    <t>Tidak tahu</t>
  </si>
  <si>
    <t>Tidak ditemukan benjolan</t>
  </si>
  <si>
    <t>45-65 thn</t>
  </si>
  <si>
    <t>Tidak pernah didiagnosis menderita kanker</t>
  </si>
  <si>
    <t>Tidak ada keluarga yang terdiagnosis kanker</t>
  </si>
  <si>
    <t>Tidak pernah merokok</t>
  </si>
  <si>
    <t>Tidak tempat kerja mengandung zat karsinogenik</t>
  </si>
  <si>
    <t>Tidak memiliki tempat tinggal berpotensi tinggi</t>
  </si>
  <si>
    <t>Memiliki lingkungan dalam rumah yang sehat</t>
  </si>
  <si>
    <t>Tidak pernah didiagnosis penyakit paru kronik</t>
  </si>
  <si>
    <t>20</t>
  </si>
  <si>
    <t>2026-09-19</t>
  </si>
  <si>
    <t>2026-09-25</t>
  </si>
  <si>
    <t>Perempuan</t>
  </si>
  <si>
    <t>Meragukan</t>
  </si>
  <si>
    <t>nama_lengkap</t>
  </si>
  <si>
    <t>tgl_lahir</t>
  </si>
  <si>
    <t>gender</t>
  </si>
  <si>
    <t>no_whatsapp</t>
  </si>
  <si>
    <t>domisili</t>
  </si>
  <si>
    <t>nik_wali</t>
  </si>
  <si>
    <t>nama_wali</t>
  </si>
  <si>
    <t>tgl_lahir_wali</t>
  </si>
  <si>
    <t>gender_wali</t>
  </si>
  <si>
    <t>no_whatsapp_wali</t>
  </si>
  <si>
    <t>pernikahan</t>
  </si>
  <si>
    <t>pekerjaan</t>
  </si>
  <si>
    <t>prov</t>
  </si>
  <si>
    <t>kab</t>
  </si>
  <si>
    <t>kec</t>
  </si>
  <si>
    <t>desa</t>
  </si>
  <si>
    <t>isikan nik wali</t>
  </si>
  <si>
    <t>isikan nama wali</t>
  </si>
  <si>
    <t>isikan tgl lahir wali (format : yyyy-mm-dd)</t>
  </si>
  <si>
    <t>isikan nomor whatsapp wali</t>
  </si>
  <si>
    <t>ASN (Kantor Pemerintah)</t>
  </si>
  <si>
    <t>Jawa Timur</t>
  </si>
  <si>
    <t>Kab. Situbondo</t>
  </si>
  <si>
    <t>Situbondo</t>
  </si>
  <si>
    <t>Kalibagor</t>
  </si>
  <si>
    <t>ABDUL KHOLIQ</t>
  </si>
  <si>
    <t>Laki-laki</t>
  </si>
  <si>
    <t>Pasien ini sudah menerima CKG</t>
  </si>
  <si>
    <t>8123456789</t>
  </si>
  <si>
    <t>3512094512930001</t>
  </si>
  <si>
    <t>YAYUK WAHYU SUGIARTI</t>
  </si>
  <si>
    <t>1993-12-05</t>
  </si>
  <si>
    <t>MUSTIAH</t>
  </si>
  <si>
    <t>REIZHA OKTA SALSABILA</t>
  </si>
  <si>
    <t>ATIYATUN NAWARO</t>
  </si>
  <si>
    <t>FARHAN RASID KHAIRULLAH</t>
  </si>
  <si>
    <t>MUHAMMAD IFAN MAKSUM</t>
  </si>
  <si>
    <t>3512090811600001</t>
  </si>
  <si>
    <t>HIDAYATUR ROHIM</t>
  </si>
  <si>
    <t>1960-11-08</t>
  </si>
  <si>
    <t>82352054089</t>
  </si>
  <si>
    <t>TREBUNGAN KRAJAN</t>
  </si>
  <si>
    <t>HJ. CIPTO WATI</t>
  </si>
  <si>
    <t>ZAIFADILLAH</t>
  </si>
  <si>
    <t>NAYSILA AZZAHROTUS SITA</t>
  </si>
  <si>
    <t>RAFKA ARKANA ARSYA</t>
  </si>
  <si>
    <t>SARIAH</t>
  </si>
  <si>
    <t>WULANDARI</t>
  </si>
  <si>
    <t>IBRHOHIM</t>
  </si>
  <si>
    <t>ASIA</t>
  </si>
  <si>
    <t>SITI FARIKHATUN NISAK</t>
  </si>
  <si>
    <t>KALANDRA QIYAS LAZUARDY</t>
  </si>
  <si>
    <t>MASTIJA</t>
  </si>
  <si>
    <t>HAMID AFNAN KAMALI</t>
  </si>
  <si>
    <t>MOHAMMAD ARSHAKA VIRENDRA SHAFWAN</t>
  </si>
  <si>
    <t>SUMARWI</t>
  </si>
  <si>
    <t>BUSINTI</t>
  </si>
  <si>
    <t>MOHAMMAD RENDY RAMADHAN</t>
  </si>
  <si>
    <t>ANIQOTUL LUTFIAH</t>
  </si>
  <si>
    <t>tgl_pemeriksaan</t>
  </si>
  <si>
    <t> </t>
  </si>
  <si>
    <t>skrining_risiko_gula_darah_anak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</si>
  <si>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</si>
  <si>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</si>
  <si>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</si>
  <si>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</si>
  <si>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</si>
  <si>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</si>
  <si>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skrining_imunisasi_rutin_balita</t>
  </si>
  <si>
    <t>imunisasi_24_bulan</t>
  </si>
  <si>
    <t>membawa_buku_imunisasi</t>
  </si>
  <si>
    <t>menerima_imunisasi_hepatitis_b</t>
  </si>
  <si>
    <t>menerima_imunisasi_bcg</t>
  </si>
  <si>
    <t>menerima_imunisasi_opv</t>
  </si>
  <si>
    <t>menerima_imunisasi_dpt</t>
  </si>
  <si>
    <t>menerima_imunisasi_opv_2</t>
  </si>
  <si>
    <t>menerima_imunisasi_pcv</t>
  </si>
  <si>
    <t>menerima_imunisasi_rotavirus</t>
  </si>
  <si>
    <t>menerima_imunisasi_dpt_2</t>
  </si>
  <si>
    <t>menerima_imunisasi_opv_3</t>
  </si>
  <si>
    <t>menerima_imunisasi_pcv_2</t>
  </si>
  <si>
    <t>menerima_imunisasi_rotavirus_2</t>
  </si>
  <si>
    <t>menerima_imunisasi_dpt_3</t>
  </si>
  <si>
    <t>menerima_imunisasi_opv_4</t>
  </si>
  <si>
    <t>menerima_imunisasi_rotavirus_3</t>
  </si>
  <si>
    <t>menerima_imunisasi_ipv</t>
  </si>
  <si>
    <t>menerima_imunisasi_campak</t>
  </si>
  <si>
    <t>menerima_imunisasi_dpt_4</t>
  </si>
  <si>
    <t>menerima_imunisasi_campak_2</t>
  </si>
  <si>
    <t>skrining_pertumbuhan</t>
  </si>
  <si>
    <t>skrining_gizi_anak_sekolah</t>
  </si>
  <si>
    <t>posisi_pengukuran</t>
  </si>
  <si>
    <t>status_lingkar_kepala</t>
  </si>
  <si>
    <t>skrining_kpsp</t>
  </si>
  <si>
    <t>hasil_kpsp</t>
  </si>
  <si>
    <t>skrining_m_chat_1</t>
  </si>
  <si>
    <t>m_chat_1</t>
  </si>
  <si>
    <t>skrining_m_chat_2</t>
  </si>
  <si>
    <t>m_chat_2</t>
  </si>
  <si>
    <t>skrining_risiko_tb_anak</t>
  </si>
  <si>
    <t>lesu</t>
  </si>
  <si>
    <t>skrining_imunisasi_hepatitis_b</t>
  </si>
  <si>
    <t>mendapat_imunisasi_hepatitis_b</t>
  </si>
  <si>
    <t>skrining_berat_lahir</t>
  </si>
  <si>
    <t>berat_lahir</t>
  </si>
  <si>
    <t>berat_sekarang</t>
  </si>
  <si>
    <t>skrining_jantung_bawaan</t>
  </si>
  <si>
    <t>pjb_tangan_kanan</t>
  </si>
  <si>
    <t>pjb_kaki</t>
  </si>
  <si>
    <t>darah_tumit</t>
  </si>
  <si>
    <t>skrining_shk</t>
  </si>
  <si>
    <t>shk</t>
  </si>
  <si>
    <t>g6pd</t>
  </si>
  <si>
    <t>hak</t>
  </si>
  <si>
    <t>skrining_konfirmasi_shk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</si>
  <si>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</si>
  <si>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</si>
  <si>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</si>
  <si>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</si>
  <si>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</si>
  <si>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</si>
  <si>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skrining_warna_kulit_dan_tinja</t>
  </si>
  <si>
    <t>dilakukan_edukasi_warna_kulit_dan_tinja</t>
  </si>
  <si>
    <t>skrining_hasil_kramer</t>
  </si>
  <si>
    <t>nilai_hasil_kramer</t>
  </si>
  <si>
    <t>skrining_warna_kulit_dan_tinja_28</t>
  </si>
  <si>
    <t>tgl_pemeriksaan_kramer</t>
  </si>
  <si>
    <t>kramer_bayi_kuning</t>
  </si>
  <si>
    <t>derajat_warna_tinja</t>
  </si>
  <si>
    <t>skrining_tb_anak</t>
  </si>
  <si>
    <t>skrining_telinga_mata_anak_sekolah</t>
  </si>
  <si>
    <t>tes_daya_dengar</t>
  </si>
  <si>
    <t>selaput_mata_merah</t>
  </si>
  <si>
    <t>pupil_putih</t>
  </si>
  <si>
    <t>skrining_periksa_gigi_anak</t>
  </si>
  <si>
    <t>jumlah_gigi_karies</t>
  </si>
  <si>
    <t>3326195402230003</t>
  </si>
  <si>
    <t>QAILA YURA MAIDA</t>
  </si>
  <si>
    <t>Sudah</t>
  </si>
  <si>
    <t>Berdiri</t>
  </si>
  <si>
    <t>Perkembangan sesuai usia</t>
  </si>
  <si>
    <t>Klinis</t>
  </si>
  <si>
    <t>Sesuai Umur</t>
  </si>
  <si>
    <t>&gt;3</t>
  </si>
  <si>
    <t>skrining_risiko_malaria</t>
  </si>
  <si>
    <t>malaria_1</t>
  </si>
  <si>
    <t>malaria_2</t>
  </si>
  <si>
    <t>malaria_3</t>
  </si>
  <si>
    <t>malaria_4</t>
  </si>
  <si>
    <t>skrining_cemas_anak</t>
  </si>
  <si>
    <t>cemas_1</t>
  </si>
  <si>
    <t>cemas_2</t>
  </si>
  <si>
    <t>cemas_3</t>
  </si>
  <si>
    <t>skrining_gejala_depresi_anak</t>
  </si>
  <si>
    <t>depresi_1</t>
  </si>
  <si>
    <t>depresi_2</t>
  </si>
  <si>
    <t>depresi_3</t>
  </si>
  <si>
    <t>skrining_imunisasi_rutin_anak_sekolah</t>
  </si>
  <si>
    <t>memperoleh_imunisasi_polio</t>
  </si>
  <si>
    <t>skrining_risiko_hepatitis_sd</t>
  </si>
  <si>
    <t>hepatitis_sd_1</t>
  </si>
  <si>
    <t>hepatitis_sd_2</t>
  </si>
  <si>
    <t>hepatitis_sd_3</t>
  </si>
  <si>
    <t>hepatitis_sd_4</t>
  </si>
  <si>
    <t>risiko_tb_anak</t>
  </si>
  <si>
    <t>skrining_tekanan_darah_anak_remaja</t>
  </si>
  <si>
    <t>sistol</t>
  </si>
  <si>
    <t>diastol</t>
  </si>
  <si>
    <t>skrining_gula_darah_anak</t>
  </si>
  <si>
    <t>anak_pernah_diabetes</t>
  </si>
  <si>
    <t>gds</t>
  </si>
  <si>
    <t>gangguan_pendengaran_kanan</t>
  </si>
  <si>
    <t>gangguan_pendengaran_kiri</t>
  </si>
  <si>
    <t>serumen_impaksi_kanan</t>
  </si>
  <si>
    <t>serumen_impaksi_kiri</t>
  </si>
  <si>
    <t>infeksi_telinga_kanan</t>
  </si>
  <si>
    <t>infeksi_telinga_kiri</t>
  </si>
  <si>
    <t>selaput_mata_merah_kanan</t>
  </si>
  <si>
    <t>selaput_mata_merah_kiri</t>
  </si>
  <si>
    <t>tajam_penglihatan_kanan</t>
  </si>
  <si>
    <t>tajam_penglihatan_kiri</t>
  </si>
  <si>
    <t>menggunakan_kacamata</t>
  </si>
  <si>
    <t>skrining_hepatitis_b_7_12</t>
  </si>
  <si>
    <t>hasil_hepatitis_b</t>
  </si>
  <si>
    <t>skrining_rdt_malaria</t>
  </si>
  <si>
    <t>hasil_rdt_malaria</t>
  </si>
  <si>
    <t>2026-06-14</t>
  </si>
  <si>
    <t>2026-06-20</t>
  </si>
  <si>
    <t>Ivan</t>
  </si>
  <si>
    <t>Normal (visus 6/6 - 6/9)</t>
  </si>
  <si>
    <t>Riwayat kontak serumah</t>
  </si>
  <si>
    <t>TCM</t>
  </si>
  <si>
    <t>Suspek frambusia</t>
  </si>
  <si>
    <t>Reaktif</t>
  </si>
  <si>
    <t>Kusta</t>
  </si>
  <si>
    <t>Non-Reaktif</t>
  </si>
  <si>
    <t>skrining_skilas_penurunan_kognitif</t>
  </si>
  <si>
    <t>mengingat_3_kata</t>
  </si>
  <si>
    <t>tanggal_berapa_dimana</t>
  </si>
  <si>
    <t>ulangi_3_kata_sebelumnya</t>
  </si>
  <si>
    <t>skrining_skilas_mobilisasi</t>
  </si>
  <si>
    <t>berdiri_di_kursi</t>
  </si>
  <si>
    <t>skrining_skilas_malnutrisi</t>
  </si>
  <si>
    <t>berat_badan_berkurang</t>
  </si>
  <si>
    <t>hilang_nafsu_makan</t>
  </si>
  <si>
    <t>lila_kurang_21cm</t>
  </si>
  <si>
    <t>skrining_skilas_depresi</t>
  </si>
  <si>
    <t>2_minggu_terakhir_sedih</t>
  </si>
  <si>
    <t>2_minggu_sedikit_minat</t>
  </si>
  <si>
    <t>skrining_gangguan_fungsional</t>
  </si>
  <si>
    <t>kendali_bab</t>
  </si>
  <si>
    <t>kendali_bak</t>
  </si>
  <si>
    <t>membersihkan_diri</t>
  </si>
  <si>
    <t>penggunaan_jamban</t>
  </si>
  <si>
    <t>makan_minum</t>
  </si>
  <si>
    <t>berubah_sikap</t>
  </si>
  <si>
    <t>berpindah</t>
  </si>
  <si>
    <t>memakai_baju</t>
  </si>
  <si>
    <t>naik_turun_tangga</t>
  </si>
  <si>
    <t>mandi</t>
  </si>
  <si>
    <t>skrining_mini_cog</t>
  </si>
  <si>
    <t>mini_cog_1</t>
  </si>
  <si>
    <t>mini_cog_2</t>
  </si>
  <si>
    <t>mini_cog_3</t>
  </si>
  <si>
    <t>skrining_ad8_ina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</si>
  <si>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</si>
  <si>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</si>
  <si>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</si>
  <si>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</si>
  <si>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</si>
  <si>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</si>
  <si>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</si>
  <si>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</si>
  <si>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skrining_mobilisasi_lanjutan</t>
  </si>
  <si>
    <t>sppb_1</t>
  </si>
  <si>
    <t>sppb_2</t>
  </si>
  <si>
    <t>sppb_3</t>
  </si>
  <si>
    <t>sppb_4</t>
  </si>
  <si>
    <t>sppb_5</t>
  </si>
  <si>
    <t>skrining_malnutrisi_lanjutan</t>
  </si>
  <si>
    <t>mna_sf_1</t>
  </si>
  <si>
    <t>mna_sf_2</t>
  </si>
  <si>
    <t>mna_sf_3</t>
  </si>
  <si>
    <t>mna_sf_4</t>
  </si>
  <si>
    <t>mna_sf_5</t>
  </si>
  <si>
    <t>mna_sf_6</t>
  </si>
  <si>
    <t>mna_sf_7</t>
  </si>
  <si>
    <t>skrining_depresi_lanjutan</t>
  </si>
  <si>
    <t>depresi_lanjutan_1</t>
  </si>
  <si>
    <t>depresi_lanjutan_2</t>
  </si>
  <si>
    <t>depresi_lanjutan_3</t>
  </si>
  <si>
    <t>depresi_lanjutan_4</t>
  </si>
  <si>
    <t>2026-07-16</t>
  </si>
  <si>
    <t>2026-07-18</t>
  </si>
  <si>
    <t>3512082302650001</t>
  </si>
  <si>
    <t>PUJO LAKSONO</t>
  </si>
  <si>
    <t>Rokok konvensional (rokok putih, filter, kretek, tingwe, dll)</t>
  </si>
  <si>
    <t>80</t>
  </si>
  <si>
    <t>175</t>
  </si>
  <si>
    <t>110</t>
  </si>
  <si>
    <t>120</t>
  </si>
  <si>
    <t>Benar semua</t>
  </si>
  <si>
    <t>Tidak terkendali/tak teratur (perlu pencahar)</t>
  </si>
  <si>
    <t>Kadang-kadang tak terkendali (hanya 1 x / 24 jam)</t>
  </si>
  <si>
    <t>Mandiri</t>
  </si>
  <si>
    <t>Butuh pertolongan</t>
  </si>
  <si>
    <t>SUDAH DITANYAKAN</t>
  </si>
  <si>
    <t>Benar</t>
  </si>
  <si>
    <t>Benar semua kata</t>
  </si>
  <si>
    <t>Tidak, Berubah</t>
  </si>
  <si>
    <t>Tidak Berubah</t>
  </si>
  <si>
    <t>Bertahan 10 detik</t>
  </si>
  <si>
    <t>4,82 detik</t>
  </si>
  <si>
    <t>&lt;11.19 detik</t>
  </si>
  <si>
    <t>Nafsu Makan Yang Sangat Berkurang</t>
  </si>
  <si>
    <t>Penurunan BB &gt; 3 Kg</t>
  </si>
  <si>
    <t>Bisa bepergian keluar rumah</t>
  </si>
  <si>
    <t>Dementia atau depresi berat</t>
  </si>
  <si>
    <t>IMT &lt;19</t>
  </si>
  <si>
    <t>&lt;31 cm</t>
  </si>
  <si>
    <t>Invalid</t>
  </si>
  <si>
    <t>Curiga gangguan pendengaran</t>
  </si>
  <si>
    <t>Gangguan Pendengaran</t>
  </si>
  <si>
    <t>Curiga gangguan penglihatan (visus &lt;6/12)</t>
  </si>
  <si>
    <t>Gangguan penglihatan ringan (visus &lt;6/12 - 6/18)</t>
  </si>
  <si>
    <t>200</t>
  </si>
  <si>
    <t>240</t>
  </si>
  <si>
    <t>100</t>
  </si>
  <si>
    <t>Anti HCV Reaktif</t>
  </si>
  <si>
    <t>Bersedia</t>
  </si>
  <si>
    <t>Tidak yakin tempat kerja mengandung zat karsinogenik</t>
  </si>
  <si>
    <t>Tidak yakin memiliki tempat tinggal berpotensi tinggi</t>
  </si>
  <si>
    <t>sekolah</t>
  </si>
  <si>
    <t>jenjang_pendidikan</t>
  </si>
  <si>
    <t>3509053001929991</t>
  </si>
  <si>
    <t>Hasan Abdum</t>
  </si>
  <si>
    <t>2019-01-26</t>
  </si>
  <si>
    <t>3512052205820001</t>
  </si>
  <si>
    <t>KUSYONO</t>
  </si>
  <si>
    <t>1982-05-22</t>
  </si>
  <si>
    <t>Belum Menikah</t>
  </si>
  <si>
    <t>Tidak memiliki disabilitas</t>
  </si>
  <si>
    <t>Pelajar</t>
  </si>
  <si>
    <t>SD AL IRSYAD</t>
  </si>
  <si>
    <t>Kelas 1</t>
  </si>
  <si>
    <t>Kendit</t>
  </si>
  <si>
    <t>Balung</t>
  </si>
  <si>
    <t>Jl. ABCD</t>
  </si>
  <si>
    <t>3512060209200001</t>
  </si>
  <si>
    <t>KENZA SHAKIL AHMAD</t>
  </si>
  <si>
    <t xml:space="preserve">SUCCESS
</t>
  </si>
  <si>
    <t>2020-09-02</t>
  </si>
  <si>
    <t>SD ISLAM AL ABROR</t>
  </si>
  <si>
    <t>Kelas 2</t>
  </si>
  <si>
    <t>Patokan</t>
  </si>
  <si>
    <t>KP TANAH ANYAR ALASMALANG RT 2 RW 5</t>
  </si>
  <si>
    <t>Shakeena M</t>
  </si>
  <si>
    <t>2020-10-01</t>
  </si>
  <si>
    <t>kelas</t>
  </si>
  <si>
    <t>whatsapp</t>
  </si>
  <si>
    <t>al irsyad</t>
  </si>
  <si>
    <t>Ummu Salamah</t>
  </si>
  <si>
    <t>8123456780</t>
  </si>
  <si>
    <t>Zavier Junior Hafiantono</t>
  </si>
  <si>
    <t>Pasien tidak ditemukan atau sudah mengkonfirmasi kehadiran</t>
  </si>
  <si>
    <t>Zain</t>
  </si>
  <si>
    <t>2026-05-18</t>
  </si>
  <si>
    <t>2026-05-24</t>
  </si>
  <si>
    <t>Al Irsyad</t>
  </si>
  <si>
    <t>Putri Shidqiyah</t>
  </si>
  <si>
    <t>FAILED: Locator.count: Target page, context or browser has been closed</t>
  </si>
  <si>
    <t>Bayi Kuning Kramer 1-3</t>
  </si>
  <si>
    <t>2026-06-10</t>
  </si>
  <si>
    <t>&gt;3 Normal</t>
  </si>
  <si>
    <t>JULE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</si>
</sst>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4">
          <cell r="C14" t="str">
            <v>ABDUL KHOLIQ</v>
          </cell>
          <cell r="E14" t="str">
            <v>3512081808210002</v>
          </cell>
          <cell r="H14" t="str">
            <v>088888888888</v>
          </cell>
          <cell r="I14" t="str">
            <v>L</v>
          </cell>
          <cell r="J14" t="str">
            <v>KAYU PUTIH 2/3</v>
          </cell>
          <cell r="N14" t="str">
            <v>SITUBONDO, 2021-08-18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"/>
  <sheetViews>
    <sheetView zoomScale="150" workbookViewId="0">
      <selection activeCell="A3" sqref="A3:XFD134"/>
    </sheetView>
  </sheetViews>
  <sheetFormatPr baseColWidth="10" defaultColWidth="8.83203125" defaultRowHeight="15" x14ac:dyDescent="0.2"/>
  <cols>
    <col min="1" max="1" width="17.33203125" bestFit="1" customWidth="1"/>
    <col min="2" max="2" width="22.5" bestFit="1" customWidth="1"/>
    <col min="3" max="3" width="37.6640625" customWidth="1"/>
    <col min="4" max="4" width="10.1640625" bestFit="1" customWidth="1"/>
    <col min="5" max="5" width="10" bestFit="1" customWidth="1"/>
    <col min="6" max="6" width="14.1640625" bestFit="1" customWidth="1"/>
    <col min="7" max="7" width="44" bestFit="1" customWidth="1"/>
    <col min="8" max="8" width="17.33203125" bestFit="1" customWidth="1"/>
    <col min="9" max="9" width="13.83203125" bestFit="1" customWidth="1"/>
    <col min="10" max="10" width="34" bestFit="1" customWidth="1"/>
    <col min="11" max="11" width="10.33203125" bestFit="1" customWidth="1"/>
  </cols>
  <sheetData>
    <row r="1" spans="1:18" x14ac:dyDescent="0.2">
      <c r="A1" t="s">
        <v>3</v>
      </c>
      <c r="B1" t="s">
        <v>261</v>
      </c>
      <c r="C1" t="s">
        <v>5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275</v>
      </c>
      <c r="R1" t="s">
        <v>276</v>
      </c>
    </row>
    <row r="2" spans="1:18" x14ac:dyDescent="0.2">
      <c r="A2" t="str">
        <f>[1]Sheet1!$E14</f>
        <v>3512081808210002</v>
      </c>
      <c r="B2" t="str">
        <f>[1]Sheet1!$C14</f>
        <v>ABDUL KHOLIQ</v>
      </c>
      <c r="D2" t="str">
        <f>RIGHT([1]Sheet1!$N14,10)</f>
        <v>2021-08-18</v>
      </c>
      <c r="E2" t="str">
        <f>IF([1]Sheet1!$I14="L","Laki-laki","Perempuan")</f>
        <v>Laki-laki</v>
      </c>
      <c r="F2" t="str">
        <f>IF(LEFT([1]Sheet1!$H14,2)="08",MID([1]Sheet1!$H14,2,11),"8123456789")</f>
        <v>88888888888</v>
      </c>
      <c r="G2" t="str">
        <f>[1]Sheet1!$J14</f>
        <v>KAYU PUTIH 2/3</v>
      </c>
      <c r="H2" t="s">
        <v>277</v>
      </c>
      <c r="I2" t="s">
        <v>278</v>
      </c>
      <c r="J2" t="s">
        <v>279</v>
      </c>
      <c r="K2" t="s">
        <v>259</v>
      </c>
      <c r="L2" t="s">
        <v>280</v>
      </c>
      <c r="M2" t="s">
        <v>199</v>
      </c>
      <c r="N2" t="s">
        <v>281</v>
      </c>
      <c r="O2" t="s">
        <v>282</v>
      </c>
      <c r="P2" t="s">
        <v>283</v>
      </c>
      <c r="Q2" t="s">
        <v>284</v>
      </c>
      <c r="R2" t="s">
        <v>285</v>
      </c>
    </row>
  </sheetData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"/>
  <sheetViews>
    <sheetView zoomScale="150" workbookViewId="0">
      <selection activeCell="A3" sqref="A3:XFD101"/>
    </sheetView>
  </sheetViews>
  <sheetFormatPr baseColWidth="10" defaultColWidth="8.83203125" defaultRowHeight="15" x14ac:dyDescent="0.2"/>
  <cols>
    <col min="1" max="1" width="17.33203125" bestFit="1" customWidth="1"/>
    <col min="2" max="2" width="22.5" bestFit="1" customWidth="1"/>
    <col min="3" max="3" width="10.33203125" customWidth="1"/>
    <col min="4" max="4" width="10.1640625" bestFit="1" customWidth="1"/>
    <col min="5" max="5" width="10" bestFit="1" customWidth="1"/>
    <col min="6" max="6" width="14.1640625" bestFit="1" customWidth="1"/>
    <col min="8" max="8" width="17.33203125" bestFit="1" customWidth="1"/>
    <col min="9" max="9" width="10.1640625" bestFit="1" customWidth="1"/>
    <col min="10" max="10" width="11.5" bestFit="1" customWidth="1"/>
  </cols>
  <sheetData>
    <row r="1" spans="1:18" x14ac:dyDescent="0.2">
      <c r="A1" t="s">
        <v>3</v>
      </c>
      <c r="B1" t="s">
        <v>261</v>
      </c>
      <c r="C1" t="s">
        <v>5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275</v>
      </c>
      <c r="R1" t="s">
        <v>276</v>
      </c>
    </row>
    <row r="2" spans="1:18" x14ac:dyDescent="0.2">
      <c r="A2" t="s">
        <v>298</v>
      </c>
      <c r="B2" t="s">
        <v>299</v>
      </c>
      <c r="C2" t="s">
        <v>288</v>
      </c>
      <c r="D2" t="s">
        <v>300</v>
      </c>
      <c r="E2" t="s">
        <v>287</v>
      </c>
      <c r="F2" t="s">
        <v>301</v>
      </c>
      <c r="G2" t="s">
        <v>302</v>
      </c>
      <c r="H2" s="1" t="s">
        <v>290</v>
      </c>
      <c r="I2" t="s">
        <v>291</v>
      </c>
      <c r="J2" s="1" t="s">
        <v>292</v>
      </c>
      <c r="K2" t="s">
        <v>259</v>
      </c>
      <c r="L2" s="1" t="s">
        <v>289</v>
      </c>
      <c r="M2" t="s">
        <v>199</v>
      </c>
      <c r="N2" s="1" t="s">
        <v>281</v>
      </c>
      <c r="O2" t="s">
        <v>282</v>
      </c>
      <c r="P2" t="s">
        <v>283</v>
      </c>
      <c r="Q2" t="s">
        <v>284</v>
      </c>
      <c r="R2" t="s">
        <v>285</v>
      </c>
    </row>
    <row r="3" spans="1:18" x14ac:dyDescent="0.2">
      <c r="H3" s="1"/>
      <c r="J3" s="1"/>
      <c r="L3" s="1"/>
      <c r="N3" s="1"/>
    </row>
    <row r="4" spans="1:18" x14ac:dyDescent="0.2">
      <c r="H4" s="1"/>
      <c r="J4" s="1"/>
      <c r="L4" s="1"/>
      <c r="N4" s="1"/>
    </row>
    <row r="5" spans="1:18" x14ac:dyDescent="0.2">
      <c r="H5" s="1"/>
      <c r="J5" s="1"/>
      <c r="L5" s="1"/>
      <c r="N5" s="1"/>
    </row>
    <row r="6" spans="1:18" x14ac:dyDescent="0.2">
      <c r="H6" s="1"/>
      <c r="J6" s="1"/>
      <c r="L6" s="1"/>
      <c r="N6" s="1"/>
    </row>
    <row r="7" spans="1:18" x14ac:dyDescent="0.2">
      <c r="H7" s="1"/>
      <c r="J7" s="1"/>
      <c r="L7" s="1"/>
      <c r="N7" s="1"/>
    </row>
    <row r="8" spans="1:18" x14ac:dyDescent="0.2">
      <c r="H8" s="1"/>
      <c r="J8" s="1"/>
      <c r="L8" s="1"/>
      <c r="N8" s="1"/>
    </row>
    <row r="9" spans="1:18" x14ac:dyDescent="0.2">
      <c r="H9" s="1"/>
      <c r="J9" s="1"/>
      <c r="L9" s="1"/>
      <c r="N9" s="1"/>
    </row>
    <row r="10" spans="1:18" x14ac:dyDescent="0.2">
      <c r="H10" s="1"/>
      <c r="J10" s="1"/>
      <c r="L10" s="1"/>
      <c r="N10" s="1"/>
    </row>
    <row r="11" spans="1:18" x14ac:dyDescent="0.2">
      <c r="H11" s="1"/>
      <c r="J11" s="1"/>
      <c r="L11" s="1"/>
      <c r="N11" s="1"/>
    </row>
    <row r="12" spans="1:18" x14ac:dyDescent="0.2">
      <c r="H12" s="1"/>
      <c r="J12" s="1"/>
      <c r="L12" s="1"/>
      <c r="N12" s="1"/>
    </row>
    <row r="13" spans="1:18" x14ac:dyDescent="0.2">
      <c r="H13" s="1"/>
      <c r="J13" s="1"/>
      <c r="L13" s="1"/>
      <c r="N13" s="1"/>
    </row>
    <row r="14" spans="1:18" x14ac:dyDescent="0.2">
      <c r="H14" s="1"/>
      <c r="J14" s="1"/>
      <c r="L14" s="1"/>
      <c r="N14" s="1"/>
    </row>
    <row r="15" spans="1:18" x14ac:dyDescent="0.2">
      <c r="H15" s="1"/>
      <c r="J15" s="1"/>
      <c r="L15" s="1"/>
      <c r="N15" s="1"/>
    </row>
    <row r="16" spans="1:18" x14ac:dyDescent="0.2">
      <c r="H16" s="1"/>
      <c r="J16" s="1"/>
      <c r="L16" s="1"/>
      <c r="N16" s="1"/>
    </row>
    <row r="17" spans="8:14" x14ac:dyDescent="0.2">
      <c r="H17" s="1"/>
      <c r="J17" s="1"/>
      <c r="L17" s="1"/>
      <c r="N17" s="1"/>
    </row>
    <row r="18" spans="8:14" x14ac:dyDescent="0.2">
      <c r="H18" s="1"/>
      <c r="J18" s="1"/>
      <c r="L18" s="1"/>
      <c r="N18" s="1"/>
    </row>
    <row r="19" spans="8:14" x14ac:dyDescent="0.2">
      <c r="H19" s="1"/>
      <c r="J19" s="1"/>
      <c r="L19" s="1"/>
      <c r="N19" s="1"/>
    </row>
    <row r="20" spans="8:14" x14ac:dyDescent="0.2">
      <c r="H20" s="1"/>
      <c r="J20" s="1"/>
      <c r="L20" s="1"/>
      <c r="N20" s="1"/>
    </row>
    <row r="21" spans="8:14" x14ac:dyDescent="0.2">
      <c r="H21" s="1"/>
      <c r="J21" s="1"/>
      <c r="L21" s="1"/>
      <c r="N21" s="1"/>
    </row>
    <row r="22" spans="8:14" x14ac:dyDescent="0.2">
      <c r="H22" s="1"/>
      <c r="J22" s="1"/>
      <c r="L22" s="1"/>
      <c r="N22" s="1"/>
    </row>
    <row r="23" spans="8:14" x14ac:dyDescent="0.2">
      <c r="H23" s="1"/>
      <c r="J23" s="1"/>
      <c r="L23" s="1"/>
      <c r="N23" s="1"/>
    </row>
    <row r="24" spans="8:14" x14ac:dyDescent="0.2">
      <c r="H24" s="1"/>
      <c r="J24" s="1"/>
      <c r="L24" s="1"/>
      <c r="N24" s="1"/>
    </row>
    <row r="25" spans="8:14" x14ac:dyDescent="0.2">
      <c r="H25" s="1"/>
      <c r="J25" s="1"/>
      <c r="L25" s="1"/>
      <c r="N25" s="1"/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topLeftCell="A71" workbookViewId="0">
      <selection activeCell="A3" sqref="A3:B75"/>
    </sheetView>
  </sheetViews>
  <sheetFormatPr baseColWidth="10" defaultColWidth="8.83203125" defaultRowHeight="15" x14ac:dyDescent="0.2"/>
  <cols>
    <col min="1" max="1" width="29.1640625" bestFit="1" customWidth="1"/>
  </cols>
  <sheetData>
    <row r="1" spans="1:3" x14ac:dyDescent="0.2">
      <c r="A1" t="s">
        <v>261</v>
      </c>
      <c r="B1" t="s">
        <v>320</v>
      </c>
      <c r="C1" t="s">
        <v>5</v>
      </c>
    </row>
    <row r="2" spans="1:3" x14ac:dyDescent="0.2">
      <c r="A2" t="s">
        <v>321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8"/>
  <sheetViews>
    <sheetView workbookViewId="0">
      <selection sqref="A1:A1048576"/>
    </sheetView>
  </sheetViews>
  <sheetFormatPr baseColWidth="10" defaultColWidth="8.83203125" defaultRowHeight="15" x14ac:dyDescent="0.2"/>
  <cols>
    <col min="5" max="5" width="32.6640625" bestFit="1" customWidth="1"/>
  </cols>
  <sheetData>
    <row r="1" spans="1:10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10</v>
      </c>
      <c r="I1" t="s">
        <v>322</v>
      </c>
      <c r="J1" t="s">
        <v>323</v>
      </c>
      <c r="K1" t="s">
        <v>324</v>
      </c>
      <c r="L1" t="s">
        <v>325</v>
      </c>
      <c r="M1" t="s">
        <v>326</v>
      </c>
      <c r="N1" t="s">
        <v>327</v>
      </c>
      <c r="O1" t="s">
        <v>328</v>
      </c>
      <c r="P1" t="s">
        <v>329</v>
      </c>
      <c r="Q1" t="s">
        <v>330</v>
      </c>
      <c r="R1" t="s">
        <v>331</v>
      </c>
      <c r="S1" t="s">
        <v>332</v>
      </c>
      <c r="T1" t="s">
        <v>333</v>
      </c>
      <c r="U1" t="s">
        <v>334</v>
      </c>
      <c r="V1" t="s">
        <v>335</v>
      </c>
      <c r="W1" t="s">
        <v>336</v>
      </c>
      <c r="X1" t="s">
        <v>337</v>
      </c>
      <c r="Y1" t="s">
        <v>338</v>
      </c>
      <c r="Z1" t="s">
        <v>339</v>
      </c>
      <c r="AA1" t="s">
        <v>340</v>
      </c>
      <c r="AB1" t="s">
        <v>341</v>
      </c>
      <c r="AC1" t="s">
        <v>342</v>
      </c>
      <c r="AD1" t="s">
        <v>343</v>
      </c>
      <c r="AE1" t="s">
        <v>344</v>
      </c>
      <c r="AF1" t="s">
        <v>345</v>
      </c>
      <c r="AG1" t="s">
        <v>346</v>
      </c>
      <c r="AH1" t="s">
        <v>347</v>
      </c>
      <c r="AI1" t="s">
        <v>348</v>
      </c>
      <c r="AJ1" t="s">
        <v>349</v>
      </c>
      <c r="AK1" t="s">
        <v>350</v>
      </c>
      <c r="AL1" t="s">
        <v>351</v>
      </c>
      <c r="AM1" t="s">
        <v>74</v>
      </c>
      <c r="AN1" t="s">
        <v>75</v>
      </c>
      <c r="AO1" t="s">
        <v>352</v>
      </c>
      <c r="AP1" t="s">
        <v>353</v>
      </c>
      <c r="AQ1" t="s">
        <v>354</v>
      </c>
      <c r="AR1" t="s">
        <v>355</v>
      </c>
      <c r="AS1" t="s">
        <v>356</v>
      </c>
      <c r="AT1" t="s">
        <v>357</v>
      </c>
      <c r="AU1" t="s">
        <v>358</v>
      </c>
      <c r="AV1" t="s">
        <v>359</v>
      </c>
      <c r="AW1" t="s">
        <v>360</v>
      </c>
      <c r="AX1" t="s">
        <v>91</v>
      </c>
      <c r="AY1" t="s">
        <v>92</v>
      </c>
      <c r="AZ1" t="s">
        <v>93</v>
      </c>
      <c r="BA1" t="s">
        <v>361</v>
      </c>
      <c r="BB1" t="s">
        <v>95</v>
      </c>
      <c r="BC1" t="s">
        <v>96</v>
      </c>
      <c r="BD1" t="s">
        <v>97</v>
      </c>
      <c r="BE1" t="s">
        <v>362</v>
      </c>
      <c r="BF1" t="s">
        <v>363</v>
      </c>
      <c r="BG1" t="s">
        <v>364</v>
      </c>
      <c r="BH1" t="s">
        <v>365</v>
      </c>
      <c r="BI1" t="s">
        <v>366</v>
      </c>
      <c r="BJ1" t="s">
        <v>367</v>
      </c>
      <c r="BK1" t="s">
        <v>368</v>
      </c>
      <c r="BL1" t="s">
        <v>369</v>
      </c>
      <c r="BM1" t="s">
        <v>370</v>
      </c>
      <c r="BN1" t="s">
        <v>371</v>
      </c>
      <c r="BO1" t="s">
        <v>372</v>
      </c>
      <c r="BP1" t="s">
        <v>373</v>
      </c>
      <c r="BQ1" t="s">
        <v>374</v>
      </c>
      <c r="BR1" t="s">
        <v>375</v>
      </c>
      <c r="BS1" t="s">
        <v>376</v>
      </c>
      <c r="BT1" t="s">
        <v>377</v>
      </c>
      <c r="BU1" t="s">
        <v>378</v>
      </c>
      <c r="BV1" t="s">
        <v>379</v>
      </c>
      <c r="BW1" t="s">
        <v>380</v>
      </c>
      <c r="BX1" t="s">
        <v>381</v>
      </c>
      <c r="BY1" t="s">
        <v>382</v>
      </c>
      <c r="BZ1" t="s">
        <v>383</v>
      </c>
      <c r="CA1" t="s">
        <v>384</v>
      </c>
      <c r="CB1" t="s">
        <v>385</v>
      </c>
      <c r="CC1" t="s">
        <v>386</v>
      </c>
      <c r="CD1" t="s">
        <v>387</v>
      </c>
      <c r="CE1" t="s">
        <v>388</v>
      </c>
      <c r="CF1" t="s">
        <v>389</v>
      </c>
      <c r="CG1" t="s">
        <v>390</v>
      </c>
      <c r="CH1" t="s">
        <v>99</v>
      </c>
      <c r="CI1" t="s">
        <v>100</v>
      </c>
      <c r="CJ1" t="s">
        <v>101</v>
      </c>
      <c r="CK1" t="s">
        <v>102</v>
      </c>
      <c r="CL1" t="s">
        <v>103</v>
      </c>
      <c r="CM1" t="s">
        <v>104</v>
      </c>
      <c r="CN1" t="s">
        <v>105</v>
      </c>
      <c r="CO1" t="s">
        <v>106</v>
      </c>
      <c r="CP1" t="s">
        <v>107</v>
      </c>
      <c r="CQ1" t="s">
        <v>108</v>
      </c>
      <c r="CR1" t="s">
        <v>109</v>
      </c>
      <c r="CS1" t="s">
        <v>110</v>
      </c>
      <c r="CT1" t="s">
        <v>391</v>
      </c>
      <c r="CU1" t="s">
        <v>112</v>
      </c>
      <c r="CV1" t="s">
        <v>113</v>
      </c>
      <c r="CW1" t="s">
        <v>392</v>
      </c>
      <c r="CX1" t="s">
        <v>393</v>
      </c>
      <c r="CY1" t="s">
        <v>394</v>
      </c>
      <c r="CZ1" t="s">
        <v>395</v>
      </c>
      <c r="DA1" t="s">
        <v>396</v>
      </c>
    </row>
    <row r="2" spans="1:105" x14ac:dyDescent="0.2">
      <c r="A2" s="2">
        <v>46284</v>
      </c>
      <c r="C2" t="s">
        <v>197</v>
      </c>
      <c r="D2" t="s">
        <v>397</v>
      </c>
      <c r="E2" t="s">
        <v>398</v>
      </c>
      <c r="F2" t="s">
        <v>198</v>
      </c>
      <c r="G2" t="s">
        <v>197</v>
      </c>
      <c r="H2" t="s">
        <v>201</v>
      </c>
      <c r="I2" t="s">
        <v>197</v>
      </c>
      <c r="J2" t="s">
        <v>200</v>
      </c>
      <c r="L2" t="s">
        <v>200</v>
      </c>
      <c r="M2" t="s">
        <v>200</v>
      </c>
      <c r="N2" t="s">
        <v>200</v>
      </c>
      <c r="O2" t="s">
        <v>200</v>
      </c>
      <c r="P2" t="s">
        <v>197</v>
      </c>
      <c r="Q2" t="s">
        <v>197</v>
      </c>
      <c r="R2" t="s">
        <v>197</v>
      </c>
      <c r="S2" t="s">
        <v>399</v>
      </c>
      <c r="T2" t="s">
        <v>399</v>
      </c>
      <c r="U2" t="s">
        <v>399</v>
      </c>
      <c r="V2" t="s">
        <v>399</v>
      </c>
      <c r="W2" t="s">
        <v>399</v>
      </c>
      <c r="X2" t="s">
        <v>399</v>
      </c>
      <c r="Y2" t="s">
        <v>399</v>
      </c>
      <c r="Z2" t="s">
        <v>399</v>
      </c>
      <c r="AA2" t="s">
        <v>399</v>
      </c>
      <c r="AB2" t="s">
        <v>399</v>
      </c>
      <c r="AC2" t="s">
        <v>399</v>
      </c>
      <c r="AD2" t="s">
        <v>399</v>
      </c>
      <c r="AE2" t="s">
        <v>399</v>
      </c>
      <c r="AF2" t="s">
        <v>399</v>
      </c>
      <c r="AG2" t="s">
        <v>399</v>
      </c>
      <c r="AH2" t="s">
        <v>399</v>
      </c>
      <c r="AI2" t="s">
        <v>399</v>
      </c>
      <c r="AJ2" t="s">
        <v>399</v>
      </c>
      <c r="AK2" t="s">
        <v>197</v>
      </c>
      <c r="AL2" t="s">
        <v>197</v>
      </c>
      <c r="AM2">
        <v>14</v>
      </c>
      <c r="AN2">
        <v>100</v>
      </c>
      <c r="AO2" t="s">
        <v>400</v>
      </c>
      <c r="AP2" t="s">
        <v>216</v>
      </c>
      <c r="AQ2" t="s">
        <v>197</v>
      </c>
      <c r="AR2" t="s">
        <v>401</v>
      </c>
      <c r="AS2" t="s">
        <v>197</v>
      </c>
      <c r="AT2" t="s">
        <v>197</v>
      </c>
      <c r="AU2" t="s">
        <v>197</v>
      </c>
      <c r="AV2">
        <v>9</v>
      </c>
      <c r="AW2" t="s">
        <v>197</v>
      </c>
      <c r="AX2" t="s">
        <v>203</v>
      </c>
      <c r="AY2" t="s">
        <v>200</v>
      </c>
      <c r="AZ2" t="s">
        <v>200</v>
      </c>
      <c r="BA2" t="s">
        <v>200</v>
      </c>
      <c r="BB2" t="s">
        <v>200</v>
      </c>
      <c r="BC2" t="s">
        <v>200</v>
      </c>
      <c r="BE2" t="s">
        <v>197</v>
      </c>
      <c r="BF2" t="s">
        <v>399</v>
      </c>
      <c r="BG2" t="s">
        <v>200</v>
      </c>
      <c r="BI2">
        <v>14</v>
      </c>
      <c r="BJ2" t="s">
        <v>200</v>
      </c>
      <c r="BN2" t="s">
        <v>200</v>
      </c>
      <c r="BR2" t="s">
        <v>200</v>
      </c>
      <c r="BY2" t="s">
        <v>200</v>
      </c>
      <c r="CA2" t="s">
        <v>200</v>
      </c>
      <c r="CC2" t="s">
        <v>200</v>
      </c>
      <c r="CG2" t="s">
        <v>197</v>
      </c>
      <c r="CH2" t="s">
        <v>217</v>
      </c>
      <c r="CI2" t="s">
        <v>402</v>
      </c>
      <c r="CJ2" t="s">
        <v>219</v>
      </c>
      <c r="CL2" t="s">
        <v>197</v>
      </c>
      <c r="CM2" t="s">
        <v>221</v>
      </c>
      <c r="CN2" t="s">
        <v>222</v>
      </c>
      <c r="CO2" t="s">
        <v>197</v>
      </c>
      <c r="CP2" t="s">
        <v>221</v>
      </c>
      <c r="CR2" t="s">
        <v>197</v>
      </c>
      <c r="CS2" t="s">
        <v>221</v>
      </c>
      <c r="CT2" t="s">
        <v>197</v>
      </c>
      <c r="CU2" t="s">
        <v>224</v>
      </c>
      <c r="CV2" t="s">
        <v>225</v>
      </c>
      <c r="CW2" t="s">
        <v>403</v>
      </c>
      <c r="CX2" t="s">
        <v>216</v>
      </c>
      <c r="CY2" t="s">
        <v>216</v>
      </c>
      <c r="CZ2" t="s">
        <v>197</v>
      </c>
      <c r="DA2" t="s">
        <v>404</v>
      </c>
    </row>
    <row r="3" spans="1:105" x14ac:dyDescent="0.2">
      <c r="E3" t="s">
        <v>286</v>
      </c>
    </row>
    <row r="4" spans="1:105" x14ac:dyDescent="0.2">
      <c r="E4" t="s">
        <v>294</v>
      </c>
    </row>
    <row r="5" spans="1:105" x14ac:dyDescent="0.2">
      <c r="E5" t="s">
        <v>297</v>
      </c>
    </row>
    <row r="6" spans="1:105" x14ac:dyDescent="0.2">
      <c r="E6" t="s">
        <v>306</v>
      </c>
    </row>
    <row r="7" spans="1:105" x14ac:dyDescent="0.2">
      <c r="E7" t="s">
        <v>314</v>
      </c>
    </row>
    <row r="8" spans="1:105" x14ac:dyDescent="0.2">
      <c r="E8" t="s">
        <v>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O14"/>
  <sheetViews>
    <sheetView workbookViewId="0">
      <selection activeCell="B3" sqref="B3:G9"/>
    </sheetView>
  </sheetViews>
  <sheetFormatPr baseColWidth="10" defaultColWidth="8.83203125" defaultRowHeight="15" x14ac:dyDescent="0.2"/>
  <sheetData>
    <row r="1" spans="1:9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322</v>
      </c>
      <c r="H1" t="s">
        <v>323</v>
      </c>
      <c r="I1" t="s">
        <v>324</v>
      </c>
      <c r="J1" t="s">
        <v>325</v>
      </c>
      <c r="K1" t="s">
        <v>326</v>
      </c>
      <c r="L1" t="s">
        <v>327</v>
      </c>
      <c r="M1" t="s">
        <v>328</v>
      </c>
      <c r="N1" t="s">
        <v>405</v>
      </c>
      <c r="O1" t="s">
        <v>406</v>
      </c>
      <c r="P1" t="s">
        <v>407</v>
      </c>
      <c r="Q1" t="s">
        <v>408</v>
      </c>
      <c r="R1" t="s">
        <v>409</v>
      </c>
      <c r="S1" t="s">
        <v>410</v>
      </c>
      <c r="T1" t="s">
        <v>411</v>
      </c>
      <c r="U1" t="s">
        <v>412</v>
      </c>
      <c r="V1" t="s">
        <v>413</v>
      </c>
      <c r="W1" t="s">
        <v>414</v>
      </c>
      <c r="X1" t="s">
        <v>415</v>
      </c>
      <c r="Y1" t="s">
        <v>416</v>
      </c>
      <c r="Z1" t="s">
        <v>417</v>
      </c>
      <c r="AA1" t="s">
        <v>418</v>
      </c>
      <c r="AB1" t="s">
        <v>419</v>
      </c>
      <c r="AC1" t="s">
        <v>420</v>
      </c>
      <c r="AD1" t="s">
        <v>421</v>
      </c>
      <c r="AE1" t="s">
        <v>422</v>
      </c>
      <c r="AF1" t="s">
        <v>423</v>
      </c>
      <c r="AG1" t="s">
        <v>424</v>
      </c>
      <c r="AH1" t="s">
        <v>360</v>
      </c>
      <c r="AI1" t="s">
        <v>425</v>
      </c>
      <c r="AK1" t="s">
        <v>73</v>
      </c>
      <c r="AL1" t="s">
        <v>74</v>
      </c>
      <c r="AM1" t="s">
        <v>75</v>
      </c>
      <c r="AN1" t="s">
        <v>426</v>
      </c>
      <c r="AO1" t="s">
        <v>427</v>
      </c>
      <c r="AP1" t="s">
        <v>428</v>
      </c>
      <c r="AQ1" t="s">
        <v>429</v>
      </c>
      <c r="AR1" t="s">
        <v>430</v>
      </c>
      <c r="AS1" t="s">
        <v>324</v>
      </c>
      <c r="AT1" t="s">
        <v>431</v>
      </c>
      <c r="AU1" t="s">
        <v>391</v>
      </c>
      <c r="AV1" t="s">
        <v>432</v>
      </c>
      <c r="AW1" t="s">
        <v>433</v>
      </c>
      <c r="AX1" t="s">
        <v>434</v>
      </c>
      <c r="AY1" t="s">
        <v>435</v>
      </c>
      <c r="AZ1" t="s">
        <v>436</v>
      </c>
      <c r="BA1" t="s">
        <v>437</v>
      </c>
      <c r="BB1" t="s">
        <v>438</v>
      </c>
      <c r="BC1" t="s">
        <v>439</v>
      </c>
      <c r="BD1" t="s">
        <v>440</v>
      </c>
      <c r="BE1" t="s">
        <v>441</v>
      </c>
      <c r="BF1" t="s">
        <v>442</v>
      </c>
      <c r="BG1" t="s">
        <v>360</v>
      </c>
      <c r="BH1" t="s">
        <v>91</v>
      </c>
      <c r="BI1" t="s">
        <v>92</v>
      </c>
      <c r="BJ1" t="s">
        <v>93</v>
      </c>
      <c r="BK1" t="s">
        <v>361</v>
      </c>
      <c r="BL1" t="s">
        <v>95</v>
      </c>
      <c r="BM1" t="s">
        <v>96</v>
      </c>
      <c r="BN1" t="s">
        <v>97</v>
      </c>
      <c r="BO1" t="s">
        <v>390</v>
      </c>
      <c r="BP1" t="s">
        <v>99</v>
      </c>
      <c r="BQ1" t="s">
        <v>100</v>
      </c>
      <c r="BR1" t="s">
        <v>101</v>
      </c>
      <c r="BS1" t="s">
        <v>102</v>
      </c>
      <c r="BT1" t="s">
        <v>103</v>
      </c>
      <c r="BU1" t="s">
        <v>104</v>
      </c>
      <c r="BV1" t="s">
        <v>105</v>
      </c>
      <c r="BW1" t="s">
        <v>106</v>
      </c>
      <c r="BX1" t="s">
        <v>107</v>
      </c>
      <c r="BY1" t="s">
        <v>108</v>
      </c>
      <c r="BZ1" t="s">
        <v>109</v>
      </c>
      <c r="CA1" t="s">
        <v>110</v>
      </c>
      <c r="CB1" t="s">
        <v>395</v>
      </c>
      <c r="CC1" t="s">
        <v>396</v>
      </c>
      <c r="CD1" t="s">
        <v>443</v>
      </c>
      <c r="CE1" t="s">
        <v>444</v>
      </c>
      <c r="CF1" t="s">
        <v>445</v>
      </c>
      <c r="CG1" t="s">
        <v>446</v>
      </c>
      <c r="CH1" t="s">
        <v>16</v>
      </c>
      <c r="CI1" t="s">
        <v>91</v>
      </c>
      <c r="CJ1" t="s">
        <v>92</v>
      </c>
      <c r="CK1" t="s">
        <v>93</v>
      </c>
      <c r="CL1" t="s">
        <v>94</v>
      </c>
      <c r="CM1" t="s">
        <v>95</v>
      </c>
      <c r="CN1" t="s">
        <v>96</v>
      </c>
      <c r="CO1" t="s">
        <v>17</v>
      </c>
    </row>
    <row r="2" spans="1:93" x14ac:dyDescent="0.2">
      <c r="A2" t="s">
        <v>447</v>
      </c>
      <c r="B2" t="s">
        <v>448</v>
      </c>
      <c r="E2" t="s">
        <v>449</v>
      </c>
      <c r="F2" t="s">
        <v>198</v>
      </c>
      <c r="G2" t="s">
        <v>197</v>
      </c>
      <c r="H2" t="s">
        <v>200</v>
      </c>
      <c r="J2" t="s">
        <v>200</v>
      </c>
      <c r="K2" t="s">
        <v>200</v>
      </c>
      <c r="L2" t="s">
        <v>200</v>
      </c>
      <c r="M2" t="s">
        <v>200</v>
      </c>
      <c r="N2" t="s">
        <v>197</v>
      </c>
      <c r="O2" t="s">
        <v>200</v>
      </c>
      <c r="P2" t="s">
        <v>200</v>
      </c>
      <c r="Q2" t="s">
        <v>200</v>
      </c>
      <c r="R2" t="s">
        <v>200</v>
      </c>
      <c r="S2" t="s">
        <v>197</v>
      </c>
      <c r="T2" t="s">
        <v>200</v>
      </c>
      <c r="U2" t="s">
        <v>200</v>
      </c>
      <c r="V2" t="s">
        <v>200</v>
      </c>
      <c r="W2" t="s">
        <v>197</v>
      </c>
      <c r="X2" t="s">
        <v>200</v>
      </c>
      <c r="Y2" t="s">
        <v>200</v>
      </c>
      <c r="Z2" t="s">
        <v>200</v>
      </c>
      <c r="AA2" t="s">
        <v>197</v>
      </c>
      <c r="AB2" t="s">
        <v>197</v>
      </c>
      <c r="AC2" t="s">
        <v>197</v>
      </c>
      <c r="AD2" t="s">
        <v>200</v>
      </c>
      <c r="AE2" t="s">
        <v>200</v>
      </c>
      <c r="AF2" t="s">
        <v>200</v>
      </c>
      <c r="AG2" t="s">
        <v>200</v>
      </c>
      <c r="AH2" t="s">
        <v>197</v>
      </c>
      <c r="AI2" t="s">
        <v>203</v>
      </c>
      <c r="AK2" t="s">
        <v>197</v>
      </c>
      <c r="AL2">
        <v>50</v>
      </c>
      <c r="AM2">
        <v>130</v>
      </c>
      <c r="AN2" t="s">
        <v>197</v>
      </c>
      <c r="AO2">
        <v>120</v>
      </c>
      <c r="AP2">
        <v>80</v>
      </c>
      <c r="AQ2" t="s">
        <v>197</v>
      </c>
      <c r="AR2" t="s">
        <v>200</v>
      </c>
      <c r="AT2">
        <v>120</v>
      </c>
      <c r="AU2" t="s">
        <v>197</v>
      </c>
      <c r="AV2" t="s">
        <v>216</v>
      </c>
      <c r="AW2" t="s">
        <v>216</v>
      </c>
      <c r="AX2" t="s">
        <v>224</v>
      </c>
      <c r="AY2" t="s">
        <v>224</v>
      </c>
      <c r="AZ2" t="s">
        <v>225</v>
      </c>
      <c r="BA2" t="s">
        <v>225</v>
      </c>
      <c r="BB2" t="s">
        <v>216</v>
      </c>
      <c r="BC2" t="s">
        <v>216</v>
      </c>
      <c r="BD2" t="s">
        <v>450</v>
      </c>
      <c r="BE2" t="s">
        <v>450</v>
      </c>
      <c r="BF2" t="s">
        <v>200</v>
      </c>
      <c r="BG2" t="s">
        <v>197</v>
      </c>
      <c r="BH2" t="s">
        <v>203</v>
      </c>
      <c r="BI2" t="s">
        <v>197</v>
      </c>
      <c r="BJ2" t="s">
        <v>197</v>
      </c>
      <c r="BK2" t="s">
        <v>197</v>
      </c>
      <c r="BL2" t="s">
        <v>197</v>
      </c>
      <c r="BM2" t="s">
        <v>197</v>
      </c>
      <c r="BN2" t="s">
        <v>216</v>
      </c>
      <c r="BO2" t="s">
        <v>197</v>
      </c>
      <c r="BP2" t="s">
        <v>451</v>
      </c>
      <c r="BQ2" t="s">
        <v>218</v>
      </c>
      <c r="BR2" t="s">
        <v>452</v>
      </c>
      <c r="BS2" t="s">
        <v>220</v>
      </c>
      <c r="BT2" t="s">
        <v>197</v>
      </c>
      <c r="BU2" t="s">
        <v>453</v>
      </c>
      <c r="BV2" t="s">
        <v>454</v>
      </c>
      <c r="BW2" t="s">
        <v>197</v>
      </c>
      <c r="BX2" t="s">
        <v>260</v>
      </c>
      <c r="BY2" t="s">
        <v>455</v>
      </c>
      <c r="CA2" t="s">
        <v>221</v>
      </c>
      <c r="CB2" t="s">
        <v>197</v>
      </c>
      <c r="CC2" t="s">
        <v>217</v>
      </c>
      <c r="CD2" t="s">
        <v>197</v>
      </c>
      <c r="CE2" t="s">
        <v>237</v>
      </c>
      <c r="CF2" t="s">
        <v>197</v>
      </c>
      <c r="CG2" t="s">
        <v>456</v>
      </c>
      <c r="CH2" t="s">
        <v>197</v>
      </c>
      <c r="CI2" t="s">
        <v>203</v>
      </c>
      <c r="CJ2" t="s">
        <v>200</v>
      </c>
      <c r="CK2" t="s">
        <v>200</v>
      </c>
      <c r="CL2" t="s">
        <v>200</v>
      </c>
      <c r="CM2" t="s">
        <v>200</v>
      </c>
      <c r="CN2" t="s">
        <v>200</v>
      </c>
      <c r="CO2" t="s">
        <v>203</v>
      </c>
    </row>
    <row r="3" spans="1:93" x14ac:dyDescent="0.2">
      <c r="E3" t="s">
        <v>295</v>
      </c>
    </row>
    <row r="4" spans="1:93" x14ac:dyDescent="0.2">
      <c r="AK4" t="s">
        <v>197</v>
      </c>
      <c r="AN4" t="s">
        <v>197</v>
      </c>
      <c r="AQ4" t="s">
        <v>197</v>
      </c>
      <c r="AU4" t="s">
        <v>197</v>
      </c>
      <c r="BG4" t="s">
        <v>197</v>
      </c>
      <c r="BO4" t="s">
        <v>197</v>
      </c>
      <c r="BT4" t="s">
        <v>197</v>
      </c>
      <c r="BW4" t="s">
        <v>197</v>
      </c>
      <c r="CB4" t="s">
        <v>197</v>
      </c>
      <c r="CD4" t="s">
        <v>197</v>
      </c>
      <c r="CF4" t="s">
        <v>197</v>
      </c>
      <c r="CH4" t="s">
        <v>197</v>
      </c>
    </row>
    <row r="5" spans="1:93" x14ac:dyDescent="0.2">
      <c r="E5" t="s">
        <v>296</v>
      </c>
    </row>
    <row r="6" spans="1:93" x14ac:dyDescent="0.2">
      <c r="E6" t="s">
        <v>305</v>
      </c>
    </row>
    <row r="7" spans="1:93" x14ac:dyDescent="0.2">
      <c r="E7" t="s">
        <v>308</v>
      </c>
    </row>
    <row r="8" spans="1:93" x14ac:dyDescent="0.2">
      <c r="E8" t="s">
        <v>309</v>
      </c>
    </row>
    <row r="9" spans="1:93" x14ac:dyDescent="0.2">
      <c r="E9" t="s">
        <v>308</v>
      </c>
    </row>
    <row r="10" spans="1:93" x14ac:dyDescent="0.2">
      <c r="E10" t="s">
        <v>311</v>
      </c>
    </row>
    <row r="11" spans="1:93" x14ac:dyDescent="0.2">
      <c r="E11" t="s">
        <v>312</v>
      </c>
    </row>
    <row r="12" spans="1:93" x14ac:dyDescent="0.2">
      <c r="E12" t="s">
        <v>312</v>
      </c>
    </row>
    <row r="13" spans="1:93" x14ac:dyDescent="0.2">
      <c r="E13" t="s">
        <v>318</v>
      </c>
    </row>
    <row r="14" spans="1:93" x14ac:dyDescent="0.2">
      <c r="E14" t="s">
        <v>319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Q2"/>
  <sheetViews>
    <sheetView zoomScale="125" zoomScaleNormal="178" workbookViewId="0">
      <selection activeCell="E3" sqref="E3"/>
    </sheetView>
  </sheetViews>
  <sheetFormatPr baseColWidth="10" defaultColWidth="8.83203125" defaultRowHeight="15" x14ac:dyDescent="0.2"/>
  <cols>
    <col min="1" max="2" width="8.83203125" style="1" customWidth="1"/>
    <col min="5" max="5" width="34.5" bestFit="1" customWidth="1"/>
    <col min="19" max="19" width="11" bestFit="1" customWidth="1"/>
    <col min="53" max="53" width="18.33203125" bestFit="1" customWidth="1"/>
    <col min="54" max="54" width="15.33203125" bestFit="1" customWidth="1"/>
    <col min="113" max="113" width="18" bestFit="1" customWidth="1"/>
    <col min="114" max="114" width="21.5" bestFit="1" customWidth="1"/>
    <col min="115" max="115" width="19" bestFit="1" customWidth="1"/>
    <col min="116" max="116" width="16.5" bestFit="1" customWidth="1"/>
    <col min="118" max="119" width="19.83203125" bestFit="1" customWidth="1"/>
    <col min="183" max="183" width="33.83203125" bestFit="1" customWidth="1"/>
  </cols>
  <sheetData>
    <row r="1" spans="1:199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16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145</v>
      </c>
      <c r="ER1" t="s">
        <v>146</v>
      </c>
      <c r="ES1" t="s">
        <v>147</v>
      </c>
      <c r="ET1" t="s">
        <v>148</v>
      </c>
      <c r="EU1" t="s">
        <v>149</v>
      </c>
      <c r="EV1" t="s">
        <v>150</v>
      </c>
      <c r="EW1" t="s">
        <v>151</v>
      </c>
      <c r="EX1" t="s">
        <v>152</v>
      </c>
      <c r="EY1" t="s">
        <v>153</v>
      </c>
      <c r="EZ1" t="s">
        <v>154</v>
      </c>
      <c r="FA1" t="s">
        <v>155</v>
      </c>
      <c r="FB1" t="s">
        <v>156</v>
      </c>
      <c r="FC1" t="s">
        <v>157</v>
      </c>
      <c r="FD1" t="s">
        <v>158</v>
      </c>
      <c r="FE1" t="s">
        <v>159</v>
      </c>
      <c r="FF1" t="s">
        <v>160</v>
      </c>
      <c r="FG1" t="s">
        <v>161</v>
      </c>
      <c r="FH1" t="s">
        <v>162</v>
      </c>
      <c r="FI1" t="s">
        <v>163</v>
      </c>
      <c r="FJ1" t="s">
        <v>164</v>
      </c>
      <c r="FK1" t="s">
        <v>165</v>
      </c>
      <c r="FL1" t="s">
        <v>166</v>
      </c>
      <c r="FM1" t="s">
        <v>167</v>
      </c>
      <c r="FN1" t="s">
        <v>168</v>
      </c>
      <c r="FO1" t="s">
        <v>169</v>
      </c>
      <c r="FP1" t="s">
        <v>170</v>
      </c>
      <c r="FQ1" t="s">
        <v>171</v>
      </c>
      <c r="FR1" t="s">
        <v>172</v>
      </c>
      <c r="FS1" t="s">
        <v>173</v>
      </c>
      <c r="FT1" t="s">
        <v>174</v>
      </c>
      <c r="FU1" t="s">
        <v>175</v>
      </c>
      <c r="FV1" t="s">
        <v>176</v>
      </c>
      <c r="FW1" t="s">
        <v>177</v>
      </c>
      <c r="FX1" t="s">
        <v>35</v>
      </c>
      <c r="FY1" t="s">
        <v>178</v>
      </c>
      <c r="FZ1" t="s">
        <v>179</v>
      </c>
      <c r="GA1" t="s">
        <v>180</v>
      </c>
      <c r="GB1" t="s">
        <v>181</v>
      </c>
      <c r="GC1" t="s">
        <v>182</v>
      </c>
      <c r="GD1" t="s">
        <v>183</v>
      </c>
      <c r="GE1" t="s">
        <v>184</v>
      </c>
      <c r="GF1" t="s">
        <v>185</v>
      </c>
      <c r="GG1" t="s">
        <v>186</v>
      </c>
      <c r="GH1" t="s">
        <v>187</v>
      </c>
      <c r="GI1" t="s">
        <v>188</v>
      </c>
      <c r="GJ1" t="s">
        <v>189</v>
      </c>
      <c r="GK1" t="s">
        <v>190</v>
      </c>
      <c r="GL1" t="s">
        <v>191</v>
      </c>
      <c r="GM1" t="s">
        <v>192</v>
      </c>
      <c r="GN1" t="s">
        <v>193</v>
      </c>
      <c r="GO1" t="s">
        <v>194</v>
      </c>
      <c r="GP1" t="s">
        <v>195</v>
      </c>
      <c r="GQ1" t="s">
        <v>196</v>
      </c>
    </row>
    <row r="2" spans="1:199" x14ac:dyDescent="0.2">
      <c r="A2" s="1" t="s">
        <v>257</v>
      </c>
      <c r="B2" s="1" t="s">
        <v>258</v>
      </c>
      <c r="E2" t="s">
        <v>595</v>
      </c>
      <c r="F2" t="s">
        <v>198</v>
      </c>
      <c r="G2" t="s">
        <v>197</v>
      </c>
      <c r="H2" t="s">
        <v>199</v>
      </c>
      <c r="I2" t="s">
        <v>200</v>
      </c>
      <c r="J2" t="s">
        <v>200</v>
      </c>
      <c r="K2" t="s">
        <v>201</v>
      </c>
      <c r="L2" t="s">
        <v>197</v>
      </c>
      <c r="M2" t="s">
        <v>200</v>
      </c>
      <c r="N2" t="s">
        <v>200</v>
      </c>
      <c r="O2" t="s">
        <v>202</v>
      </c>
      <c r="P2" t="s">
        <v>259</v>
      </c>
      <c r="Q2" t="s">
        <v>197</v>
      </c>
      <c r="R2" t="s">
        <v>203</v>
      </c>
      <c r="S2" t="s">
        <v>197</v>
      </c>
      <c r="T2" t="s">
        <v>200</v>
      </c>
      <c r="U2" t="s">
        <v>200</v>
      </c>
      <c r="V2" t="s">
        <v>200</v>
      </c>
      <c r="W2" t="s">
        <v>200</v>
      </c>
      <c r="X2" t="s">
        <v>200</v>
      </c>
      <c r="Y2" t="s">
        <v>200</v>
      </c>
      <c r="Z2" t="s">
        <v>200</v>
      </c>
      <c r="AA2" t="s">
        <v>200</v>
      </c>
      <c r="AB2" t="s">
        <v>200</v>
      </c>
      <c r="AC2" t="s">
        <v>197</v>
      </c>
      <c r="AD2" t="s">
        <v>200</v>
      </c>
      <c r="AE2" t="s">
        <v>197</v>
      </c>
      <c r="AF2" t="s">
        <v>204</v>
      </c>
      <c r="AG2" t="s">
        <v>204</v>
      </c>
      <c r="AH2" t="s">
        <v>204</v>
      </c>
      <c r="AI2" t="s">
        <v>204</v>
      </c>
      <c r="AJ2" t="s">
        <v>197</v>
      </c>
      <c r="AK2" t="s">
        <v>200</v>
      </c>
      <c r="AL2" t="s">
        <v>200</v>
      </c>
      <c r="AM2" t="s">
        <v>200</v>
      </c>
      <c r="AN2" t="s">
        <v>200</v>
      </c>
      <c r="AO2" t="s">
        <v>200</v>
      </c>
      <c r="AP2" t="s">
        <v>200</v>
      </c>
      <c r="AQ2" t="s">
        <v>197</v>
      </c>
      <c r="AR2" t="s">
        <v>200</v>
      </c>
      <c r="AS2" t="s">
        <v>205</v>
      </c>
      <c r="AT2">
        <v>3</v>
      </c>
      <c r="AU2">
        <v>15</v>
      </c>
      <c r="AV2" t="s">
        <v>200</v>
      </c>
      <c r="AW2">
        <v>3</v>
      </c>
      <c r="AX2" t="s">
        <v>206</v>
      </c>
      <c r="AY2" t="s">
        <v>200</v>
      </c>
      <c r="AZ2" t="s">
        <v>207</v>
      </c>
      <c r="BA2" t="s">
        <v>197</v>
      </c>
      <c r="BB2" t="s">
        <v>197</v>
      </c>
      <c r="BC2">
        <v>5</v>
      </c>
      <c r="BD2">
        <v>60</v>
      </c>
      <c r="BE2" t="s">
        <v>197</v>
      </c>
      <c r="BF2">
        <v>6</v>
      </c>
      <c r="BG2">
        <v>30</v>
      </c>
      <c r="BH2" t="s">
        <v>200</v>
      </c>
      <c r="BI2">
        <v>3</v>
      </c>
      <c r="BJ2">
        <v>120</v>
      </c>
      <c r="BK2" t="s">
        <v>200</v>
      </c>
      <c r="BL2">
        <v>2</v>
      </c>
      <c r="BM2">
        <v>100</v>
      </c>
      <c r="BN2" t="s">
        <v>200</v>
      </c>
      <c r="BO2">
        <v>1</v>
      </c>
      <c r="BP2">
        <v>20</v>
      </c>
      <c r="BQ2" t="s">
        <v>200</v>
      </c>
      <c r="BR2">
        <v>1</v>
      </c>
      <c r="BS2">
        <v>20</v>
      </c>
      <c r="BT2" t="s">
        <v>197</v>
      </c>
      <c r="BU2" t="s">
        <v>208</v>
      </c>
      <c r="BV2" t="s">
        <v>197</v>
      </c>
      <c r="BW2" t="s">
        <v>209</v>
      </c>
      <c r="BX2">
        <v>160</v>
      </c>
      <c r="BY2" t="s">
        <v>210</v>
      </c>
      <c r="BZ2" t="s">
        <v>197</v>
      </c>
      <c r="CA2" t="s">
        <v>197</v>
      </c>
      <c r="CB2" t="s">
        <v>211</v>
      </c>
      <c r="CC2" t="s">
        <v>212</v>
      </c>
      <c r="CD2" t="s">
        <v>210</v>
      </c>
      <c r="CE2" t="s">
        <v>213</v>
      </c>
      <c r="CF2" t="s">
        <v>212</v>
      </c>
      <c r="CG2" t="s">
        <v>197</v>
      </c>
      <c r="CH2" t="s">
        <v>200</v>
      </c>
      <c r="CI2" t="s">
        <v>211</v>
      </c>
      <c r="CJ2" t="s">
        <v>214</v>
      </c>
      <c r="CK2" t="s">
        <v>215</v>
      </c>
      <c r="CL2" t="s">
        <v>214</v>
      </c>
      <c r="CM2" t="s">
        <v>215</v>
      </c>
      <c r="CN2" t="s">
        <v>197</v>
      </c>
      <c r="CO2" t="s">
        <v>203</v>
      </c>
      <c r="CP2" t="s">
        <v>200</v>
      </c>
      <c r="CQ2" t="s">
        <v>200</v>
      </c>
      <c r="CR2" t="s">
        <v>200</v>
      </c>
      <c r="CS2" t="s">
        <v>200</v>
      </c>
      <c r="CT2" t="s">
        <v>200</v>
      </c>
      <c r="CU2" t="s">
        <v>216</v>
      </c>
      <c r="CV2" t="s">
        <v>197</v>
      </c>
      <c r="CW2" t="s">
        <v>217</v>
      </c>
      <c r="CX2" t="s">
        <v>218</v>
      </c>
      <c r="CY2" t="s">
        <v>219</v>
      </c>
      <c r="CZ2" t="s">
        <v>220</v>
      </c>
      <c r="DA2" t="s">
        <v>197</v>
      </c>
      <c r="DB2" t="s">
        <v>221</v>
      </c>
      <c r="DC2" t="s">
        <v>222</v>
      </c>
      <c r="DD2" t="s">
        <v>197</v>
      </c>
      <c r="DE2" t="s">
        <v>260</v>
      </c>
      <c r="DF2" t="s">
        <v>223</v>
      </c>
      <c r="DG2" t="s">
        <v>197</v>
      </c>
      <c r="DH2" t="s">
        <v>221</v>
      </c>
      <c r="DI2" t="s">
        <v>197</v>
      </c>
      <c r="DJ2" t="s">
        <v>224</v>
      </c>
      <c r="DK2" t="s">
        <v>225</v>
      </c>
      <c r="DL2" t="s">
        <v>216</v>
      </c>
      <c r="DM2" t="s">
        <v>216</v>
      </c>
      <c r="DN2" t="s">
        <v>226</v>
      </c>
      <c r="DO2" t="s">
        <v>226</v>
      </c>
      <c r="DP2" t="s">
        <v>227</v>
      </c>
      <c r="DQ2" t="s">
        <v>228</v>
      </c>
      <c r="DR2" t="s">
        <v>216</v>
      </c>
      <c r="DS2" t="s">
        <v>216</v>
      </c>
      <c r="DT2" t="s">
        <v>197</v>
      </c>
      <c r="DU2" t="s">
        <v>197</v>
      </c>
      <c r="DV2" t="s">
        <v>200</v>
      </c>
      <c r="DW2" t="s">
        <v>197</v>
      </c>
      <c r="DX2" t="s">
        <v>197</v>
      </c>
      <c r="DY2" t="s">
        <v>200</v>
      </c>
      <c r="DZ2" t="s">
        <v>197</v>
      </c>
      <c r="EA2" t="s">
        <v>229</v>
      </c>
      <c r="EB2" t="s">
        <v>200</v>
      </c>
      <c r="EC2" t="s">
        <v>230</v>
      </c>
      <c r="ED2" t="s">
        <v>200</v>
      </c>
      <c r="EE2" t="s">
        <v>200</v>
      </c>
      <c r="EF2" t="s">
        <v>200</v>
      </c>
      <c r="EG2" t="s">
        <v>200</v>
      </c>
      <c r="EH2" t="s">
        <v>197</v>
      </c>
      <c r="EI2" t="s">
        <v>210</v>
      </c>
      <c r="EJ2" t="s">
        <v>197</v>
      </c>
      <c r="EK2" t="s">
        <v>231</v>
      </c>
      <c r="EL2" t="s">
        <v>232</v>
      </c>
      <c r="EM2" t="s">
        <v>233</v>
      </c>
      <c r="EN2" t="s">
        <v>234</v>
      </c>
      <c r="EO2" t="s">
        <v>197</v>
      </c>
      <c r="EP2" t="s">
        <v>235</v>
      </c>
      <c r="EQ2" t="s">
        <v>236</v>
      </c>
      <c r="ER2" t="s">
        <v>197</v>
      </c>
      <c r="ES2" t="s">
        <v>237</v>
      </c>
      <c r="ET2" t="s">
        <v>238</v>
      </c>
      <c r="EU2" t="s">
        <v>239</v>
      </c>
      <c r="EV2" t="s">
        <v>197</v>
      </c>
      <c r="EW2">
        <v>0.9</v>
      </c>
      <c r="EX2" t="s">
        <v>232</v>
      </c>
      <c r="EY2" t="s">
        <v>240</v>
      </c>
      <c r="EZ2" t="s">
        <v>233</v>
      </c>
      <c r="FA2" t="s">
        <v>197</v>
      </c>
      <c r="FB2" t="s">
        <v>241</v>
      </c>
      <c r="FC2" t="s">
        <v>242</v>
      </c>
      <c r="FD2" t="s">
        <v>197</v>
      </c>
      <c r="FE2" t="s">
        <v>243</v>
      </c>
      <c r="FF2" t="s">
        <v>216</v>
      </c>
      <c r="FG2" t="s">
        <v>216</v>
      </c>
      <c r="FH2" t="s">
        <v>197</v>
      </c>
      <c r="FI2" t="s">
        <v>244</v>
      </c>
      <c r="FJ2" t="s">
        <v>200</v>
      </c>
      <c r="FK2" t="s">
        <v>200</v>
      </c>
      <c r="FL2" t="s">
        <v>200</v>
      </c>
      <c r="FM2" t="s">
        <v>200</v>
      </c>
      <c r="FN2" t="s">
        <v>197</v>
      </c>
      <c r="FO2" t="s">
        <v>216</v>
      </c>
      <c r="FP2" t="s">
        <v>245</v>
      </c>
      <c r="FQ2" t="s">
        <v>197</v>
      </c>
      <c r="FR2" t="s">
        <v>216</v>
      </c>
      <c r="FS2" t="s">
        <v>216</v>
      </c>
      <c r="FT2" t="s">
        <v>197</v>
      </c>
      <c r="FU2" t="s">
        <v>246</v>
      </c>
      <c r="FV2" t="s">
        <v>247</v>
      </c>
      <c r="FW2" t="s">
        <v>245</v>
      </c>
      <c r="FX2" t="s">
        <v>197</v>
      </c>
      <c r="FY2" t="s">
        <v>259</v>
      </c>
      <c r="FZ2" t="s">
        <v>248</v>
      </c>
      <c r="GA2" t="s">
        <v>249</v>
      </c>
      <c r="GB2" t="s">
        <v>250</v>
      </c>
      <c r="GC2" t="s">
        <v>251</v>
      </c>
      <c r="GD2" t="s">
        <v>252</v>
      </c>
      <c r="GE2" t="s">
        <v>253</v>
      </c>
      <c r="GF2" t="s">
        <v>254</v>
      </c>
      <c r="GG2" t="s">
        <v>255</v>
      </c>
      <c r="GH2" t="s">
        <v>216</v>
      </c>
      <c r="GI2" t="s">
        <v>197</v>
      </c>
      <c r="GJ2" t="s">
        <v>256</v>
      </c>
      <c r="GK2" t="s">
        <v>197</v>
      </c>
      <c r="GL2" t="s">
        <v>222</v>
      </c>
      <c r="GM2" t="s">
        <v>222</v>
      </c>
      <c r="GN2" t="s">
        <v>222</v>
      </c>
      <c r="GO2" t="s">
        <v>222</v>
      </c>
      <c r="GP2" t="s">
        <v>197</v>
      </c>
      <c r="GQ2" t="s">
        <v>222</v>
      </c>
    </row>
  </sheetData>
  <pageMargins left="0.75" right="0.75" top="1" bottom="1" header="0.5" footer="0.5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M10"/>
  <sheetViews>
    <sheetView workbookViewId="0">
      <selection activeCell="A3" sqref="A3:HM5"/>
    </sheetView>
  </sheetViews>
  <sheetFormatPr baseColWidth="10" defaultColWidth="8.83203125" defaultRowHeight="15" x14ac:dyDescent="0.2"/>
  <sheetData>
    <row r="1" spans="1:22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</v>
      </c>
      <c r="J1" t="s">
        <v>11</v>
      </c>
      <c r="K1" t="s">
        <v>12</v>
      </c>
      <c r="L1" t="s">
        <v>13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52</v>
      </c>
      <c r="AU1" t="s">
        <v>53</v>
      </c>
      <c r="AV1" t="s">
        <v>54</v>
      </c>
      <c r="AW1" t="s">
        <v>55</v>
      </c>
      <c r="AX1" t="s">
        <v>56</v>
      </c>
      <c r="AY1" t="s">
        <v>57</v>
      </c>
      <c r="AZ1" t="s">
        <v>58</v>
      </c>
      <c r="BA1" t="s">
        <v>59</v>
      </c>
      <c r="BB1" t="s">
        <v>60</v>
      </c>
      <c r="BC1" t="s">
        <v>61</v>
      </c>
      <c r="BD1" t="s">
        <v>62</v>
      </c>
      <c r="BE1" t="s">
        <v>63</v>
      </c>
      <c r="BF1" t="s">
        <v>64</v>
      </c>
      <c r="BG1" t="s">
        <v>65</v>
      </c>
      <c r="BH1" t="s">
        <v>66</v>
      </c>
      <c r="BI1" t="s">
        <v>67</v>
      </c>
      <c r="BJ1" t="s">
        <v>68</v>
      </c>
      <c r="BK1" t="s">
        <v>69</v>
      </c>
      <c r="BL1" t="s">
        <v>70</v>
      </c>
      <c r="BM1" t="s">
        <v>73</v>
      </c>
      <c r="BN1" t="s">
        <v>74</v>
      </c>
      <c r="BO1" t="s">
        <v>75</v>
      </c>
      <c r="BP1" t="s">
        <v>76</v>
      </c>
      <c r="BQ1" t="s">
        <v>77</v>
      </c>
      <c r="BR1" t="s">
        <v>78</v>
      </c>
      <c r="BS1" t="s">
        <v>79</v>
      </c>
      <c r="BT1" t="s">
        <v>80</v>
      </c>
      <c r="BU1" t="s">
        <v>81</v>
      </c>
      <c r="BV1" t="s">
        <v>82</v>
      </c>
      <c r="BW1" t="s">
        <v>83</v>
      </c>
      <c r="BX1" t="s">
        <v>84</v>
      </c>
      <c r="BY1" t="s">
        <v>85</v>
      </c>
      <c r="BZ1" t="s">
        <v>86</v>
      </c>
      <c r="CA1" t="s">
        <v>87</v>
      </c>
      <c r="CB1" t="s">
        <v>88</v>
      </c>
      <c r="CC1" t="s">
        <v>89</v>
      </c>
      <c r="CD1" t="s">
        <v>90</v>
      </c>
      <c r="CE1" t="s">
        <v>457</v>
      </c>
      <c r="CF1" t="s">
        <v>458</v>
      </c>
      <c r="CG1" t="s">
        <v>459</v>
      </c>
      <c r="CH1" t="s">
        <v>460</v>
      </c>
      <c r="CI1" t="s">
        <v>461</v>
      </c>
      <c r="CJ1" t="s">
        <v>462</v>
      </c>
      <c r="CK1" t="s">
        <v>463</v>
      </c>
      <c r="CL1" t="s">
        <v>464</v>
      </c>
      <c r="CM1" t="s">
        <v>465</v>
      </c>
      <c r="CN1" t="s">
        <v>466</v>
      </c>
      <c r="CO1" t="s">
        <v>467</v>
      </c>
      <c r="CP1" t="s">
        <v>468</v>
      </c>
      <c r="CQ1" t="s">
        <v>469</v>
      </c>
      <c r="CR1" t="s">
        <v>470</v>
      </c>
      <c r="CS1" t="s">
        <v>471</v>
      </c>
      <c r="CT1" t="s">
        <v>472</v>
      </c>
      <c r="CU1" t="s">
        <v>473</v>
      </c>
      <c r="CV1" t="s">
        <v>474</v>
      </c>
      <c r="CW1" t="s">
        <v>475</v>
      </c>
      <c r="CX1" t="s">
        <v>476</v>
      </c>
      <c r="CY1" t="s">
        <v>477</v>
      </c>
      <c r="CZ1" t="s">
        <v>478</v>
      </c>
      <c r="DA1" t="s">
        <v>479</v>
      </c>
      <c r="DB1" t="s">
        <v>480</v>
      </c>
      <c r="DC1" t="s">
        <v>481</v>
      </c>
      <c r="DD1" t="s">
        <v>482</v>
      </c>
      <c r="DE1" t="s">
        <v>483</v>
      </c>
      <c r="DF1" t="s">
        <v>484</v>
      </c>
      <c r="DG1" t="s">
        <v>485</v>
      </c>
      <c r="DH1" t="s">
        <v>486</v>
      </c>
      <c r="DI1" t="s">
        <v>487</v>
      </c>
      <c r="DJ1" t="s">
        <v>488</v>
      </c>
      <c r="DK1" t="s">
        <v>489</v>
      </c>
      <c r="DL1" t="s">
        <v>490</v>
      </c>
      <c r="DM1" t="s">
        <v>491</v>
      </c>
      <c r="DN1" t="s">
        <v>492</v>
      </c>
      <c r="DO1" t="s">
        <v>493</v>
      </c>
      <c r="DP1" t="s">
        <v>494</v>
      </c>
      <c r="DQ1" t="s">
        <v>495</v>
      </c>
      <c r="DR1" t="s">
        <v>496</v>
      </c>
      <c r="DS1" t="s">
        <v>497</v>
      </c>
      <c r="DT1" t="s">
        <v>498</v>
      </c>
      <c r="DU1" t="s">
        <v>499</v>
      </c>
      <c r="DV1" t="s">
        <v>500</v>
      </c>
      <c r="DW1" t="s">
        <v>501</v>
      </c>
      <c r="DX1" t="s">
        <v>502</v>
      </c>
      <c r="DY1" t="s">
        <v>503</v>
      </c>
      <c r="DZ1" t="s">
        <v>504</v>
      </c>
      <c r="EA1" t="s">
        <v>505</v>
      </c>
      <c r="EB1" t="s">
        <v>506</v>
      </c>
      <c r="EC1" t="s">
        <v>507</v>
      </c>
      <c r="ED1" t="s">
        <v>508</v>
      </c>
      <c r="EE1" t="s">
        <v>509</v>
      </c>
      <c r="EF1" t="s">
        <v>510</v>
      </c>
      <c r="EG1" t="s">
        <v>511</v>
      </c>
      <c r="EH1" t="s">
        <v>512</v>
      </c>
      <c r="EI1" t="s">
        <v>16</v>
      </c>
      <c r="EJ1" t="s">
        <v>91</v>
      </c>
      <c r="EK1" t="s">
        <v>92</v>
      </c>
      <c r="EL1" t="s">
        <v>93</v>
      </c>
      <c r="EM1" t="s">
        <v>94</v>
      </c>
      <c r="EN1" t="s">
        <v>95</v>
      </c>
      <c r="EO1" t="s">
        <v>96</v>
      </c>
      <c r="EP1" t="s">
        <v>97</v>
      </c>
      <c r="EQ1" t="s">
        <v>98</v>
      </c>
      <c r="ER1" t="s">
        <v>99</v>
      </c>
      <c r="ES1" t="s">
        <v>100</v>
      </c>
      <c r="ET1" t="s">
        <v>101</v>
      </c>
      <c r="EU1" t="s">
        <v>102</v>
      </c>
      <c r="EV1" t="s">
        <v>103</v>
      </c>
      <c r="EW1" t="s">
        <v>104</v>
      </c>
      <c r="EX1" t="s">
        <v>105</v>
      </c>
      <c r="EY1" t="s">
        <v>106</v>
      </c>
      <c r="EZ1" t="s">
        <v>107</v>
      </c>
      <c r="FA1" t="s">
        <v>108</v>
      </c>
      <c r="FB1" t="s">
        <v>109</v>
      </c>
      <c r="FC1" t="s">
        <v>110</v>
      </c>
      <c r="FD1" t="s">
        <v>111</v>
      </c>
      <c r="FE1" t="s">
        <v>112</v>
      </c>
      <c r="FF1" t="s">
        <v>113</v>
      </c>
      <c r="FG1" t="s">
        <v>114</v>
      </c>
      <c r="FH1" t="s">
        <v>115</v>
      </c>
      <c r="FI1" t="s">
        <v>116</v>
      </c>
      <c r="FJ1" t="s">
        <v>117</v>
      </c>
      <c r="FK1" t="s">
        <v>118</v>
      </c>
      <c r="FL1" t="s">
        <v>119</v>
      </c>
      <c r="FM1" t="s">
        <v>120</v>
      </c>
      <c r="FN1" t="s">
        <v>121</v>
      </c>
      <c r="FO1" t="s">
        <v>122</v>
      </c>
      <c r="FP1" t="s">
        <v>123</v>
      </c>
      <c r="FQ1" t="s">
        <v>124</v>
      </c>
      <c r="FR1" t="s">
        <v>125</v>
      </c>
      <c r="FS1" t="s">
        <v>126</v>
      </c>
      <c r="FT1" t="s">
        <v>127</v>
      </c>
      <c r="FU1" t="s">
        <v>128</v>
      </c>
      <c r="FV1" t="s">
        <v>130</v>
      </c>
      <c r="FW1" t="s">
        <v>131</v>
      </c>
      <c r="FX1" t="s">
        <v>132</v>
      </c>
      <c r="FY1" t="s">
        <v>133</v>
      </c>
      <c r="FZ1" t="s">
        <v>134</v>
      </c>
      <c r="GA1" t="s">
        <v>135</v>
      </c>
      <c r="GB1" t="s">
        <v>136</v>
      </c>
      <c r="GC1" t="s">
        <v>137</v>
      </c>
      <c r="GD1" t="s">
        <v>138</v>
      </c>
      <c r="GE1" t="s">
        <v>139</v>
      </c>
      <c r="GF1" t="s">
        <v>140</v>
      </c>
      <c r="GG1" t="s">
        <v>141</v>
      </c>
      <c r="GH1" t="s">
        <v>142</v>
      </c>
      <c r="GI1" t="s">
        <v>143</v>
      </c>
      <c r="GJ1" t="s">
        <v>144</v>
      </c>
      <c r="GK1" t="s">
        <v>145</v>
      </c>
      <c r="GL1" t="s">
        <v>146</v>
      </c>
      <c r="GM1" t="s">
        <v>147</v>
      </c>
      <c r="GN1" t="s">
        <v>148</v>
      </c>
      <c r="GO1" t="s">
        <v>149</v>
      </c>
      <c r="GP1" t="s">
        <v>150</v>
      </c>
      <c r="GQ1" t="s">
        <v>151</v>
      </c>
      <c r="GR1" t="s">
        <v>152</v>
      </c>
      <c r="GS1" t="s">
        <v>153</v>
      </c>
      <c r="GT1" t="s">
        <v>154</v>
      </c>
      <c r="GU1" t="s">
        <v>155</v>
      </c>
      <c r="GV1" t="s">
        <v>156</v>
      </c>
      <c r="GW1" t="s">
        <v>157</v>
      </c>
      <c r="GX1" t="s">
        <v>171</v>
      </c>
      <c r="GY1" t="s">
        <v>172</v>
      </c>
      <c r="GZ1" t="s">
        <v>173</v>
      </c>
      <c r="HA1" t="s">
        <v>174</v>
      </c>
      <c r="HB1" t="s">
        <v>175</v>
      </c>
      <c r="HC1" t="s">
        <v>176</v>
      </c>
      <c r="HD1" t="s">
        <v>177</v>
      </c>
      <c r="HE1" t="s">
        <v>35</v>
      </c>
      <c r="HF1" t="s">
        <v>180</v>
      </c>
      <c r="HG1" t="s">
        <v>181</v>
      </c>
      <c r="HH1" t="s">
        <v>182</v>
      </c>
      <c r="HI1" t="s">
        <v>183</v>
      </c>
      <c r="HJ1" t="s">
        <v>184</v>
      </c>
      <c r="HK1" t="s">
        <v>185</v>
      </c>
      <c r="HL1" t="s">
        <v>186</v>
      </c>
      <c r="HM1" t="s">
        <v>187</v>
      </c>
    </row>
    <row r="2" spans="1:221" x14ac:dyDescent="0.2">
      <c r="A2" t="s">
        <v>513</v>
      </c>
      <c r="B2" t="s">
        <v>514</v>
      </c>
      <c r="D2" t="s">
        <v>515</v>
      </c>
      <c r="E2" t="s">
        <v>516</v>
      </c>
      <c r="F2" t="s">
        <v>198</v>
      </c>
      <c r="G2" t="s">
        <v>197</v>
      </c>
      <c r="H2" t="s">
        <v>199</v>
      </c>
      <c r="I2" t="s">
        <v>201</v>
      </c>
      <c r="J2" t="s">
        <v>197</v>
      </c>
      <c r="K2" t="s">
        <v>200</v>
      </c>
      <c r="L2" t="s">
        <v>200</v>
      </c>
      <c r="M2" t="s">
        <v>197</v>
      </c>
      <c r="N2" t="s">
        <v>203</v>
      </c>
      <c r="O2" t="s">
        <v>197</v>
      </c>
      <c r="P2" t="s">
        <v>200</v>
      </c>
      <c r="Q2" t="s">
        <v>200</v>
      </c>
      <c r="R2" t="s">
        <v>200</v>
      </c>
      <c r="S2" t="s">
        <v>200</v>
      </c>
      <c r="T2" t="s">
        <v>200</v>
      </c>
      <c r="U2" t="s">
        <v>200</v>
      </c>
      <c r="V2" t="s">
        <v>200</v>
      </c>
      <c r="W2" t="s">
        <v>200</v>
      </c>
      <c r="X2" t="s">
        <v>200</v>
      </c>
      <c r="Y2" t="s">
        <v>197</v>
      </c>
      <c r="Z2" t="s">
        <v>204</v>
      </c>
      <c r="AA2" t="s">
        <v>204</v>
      </c>
      <c r="AB2" t="s">
        <v>204</v>
      </c>
      <c r="AC2" t="s">
        <v>204</v>
      </c>
      <c r="AD2" t="s">
        <v>197</v>
      </c>
      <c r="AE2" t="s">
        <v>200</v>
      </c>
      <c r="AF2" t="s">
        <v>200</v>
      </c>
      <c r="AG2" t="s">
        <v>200</v>
      </c>
      <c r="AH2" t="s">
        <v>200</v>
      </c>
      <c r="AI2" t="s">
        <v>200</v>
      </c>
      <c r="AJ2" t="s">
        <v>200</v>
      </c>
      <c r="AK2" t="s">
        <v>197</v>
      </c>
      <c r="AL2" t="s">
        <v>200</v>
      </c>
      <c r="AM2" t="s">
        <v>517</v>
      </c>
      <c r="AP2" t="s">
        <v>200</v>
      </c>
      <c r="AS2" t="s">
        <v>197</v>
      </c>
      <c r="AT2" t="s">
        <v>197</v>
      </c>
      <c r="AU2" t="s">
        <v>197</v>
      </c>
      <c r="AV2">
        <v>5</v>
      </c>
      <c r="AW2">
        <v>60</v>
      </c>
      <c r="AX2" t="s">
        <v>197</v>
      </c>
      <c r="AY2">
        <v>6</v>
      </c>
      <c r="AZ2">
        <v>30</v>
      </c>
      <c r="BA2" t="s">
        <v>197</v>
      </c>
      <c r="BB2">
        <v>3</v>
      </c>
      <c r="BC2">
        <v>120</v>
      </c>
      <c r="BD2" t="s">
        <v>197</v>
      </c>
      <c r="BE2">
        <v>2</v>
      </c>
      <c r="BF2">
        <v>100</v>
      </c>
      <c r="BG2" t="s">
        <v>197</v>
      </c>
      <c r="BH2">
        <v>1</v>
      </c>
      <c r="BI2">
        <v>20</v>
      </c>
      <c r="BJ2" t="s">
        <v>197</v>
      </c>
      <c r="BK2">
        <v>1</v>
      </c>
      <c r="BL2">
        <v>20</v>
      </c>
      <c r="BM2" t="s">
        <v>197</v>
      </c>
      <c r="BN2" t="s">
        <v>518</v>
      </c>
      <c r="BO2" t="s">
        <v>519</v>
      </c>
      <c r="BP2" t="s">
        <v>210</v>
      </c>
      <c r="BQ2" t="s">
        <v>197</v>
      </c>
      <c r="BR2" t="s">
        <v>197</v>
      </c>
      <c r="BS2" t="s">
        <v>211</v>
      </c>
      <c r="BT2" t="s">
        <v>520</v>
      </c>
      <c r="BU2">
        <v>100</v>
      </c>
      <c r="BV2">
        <v>92</v>
      </c>
      <c r="BW2">
        <v>115</v>
      </c>
      <c r="BX2" t="s">
        <v>197</v>
      </c>
      <c r="BY2" t="s">
        <v>200</v>
      </c>
      <c r="BZ2" t="s">
        <v>211</v>
      </c>
      <c r="CA2" t="s">
        <v>521</v>
      </c>
      <c r="CB2" t="s">
        <v>518</v>
      </c>
      <c r="CC2">
        <v>110</v>
      </c>
      <c r="CD2">
        <v>80</v>
      </c>
      <c r="CE2" t="s">
        <v>197</v>
      </c>
      <c r="CF2" t="s">
        <v>197</v>
      </c>
      <c r="CG2" t="s">
        <v>522</v>
      </c>
      <c r="CH2" t="s">
        <v>197</v>
      </c>
      <c r="CI2" t="s">
        <v>197</v>
      </c>
      <c r="CJ2" t="s">
        <v>197</v>
      </c>
      <c r="CK2" t="s">
        <v>197</v>
      </c>
      <c r="CL2" t="s">
        <v>200</v>
      </c>
      <c r="CM2" t="s">
        <v>200</v>
      </c>
      <c r="CN2" t="s">
        <v>200</v>
      </c>
      <c r="CO2" t="s">
        <v>197</v>
      </c>
      <c r="CP2" t="s">
        <v>200</v>
      </c>
      <c r="CQ2" t="s">
        <v>200</v>
      </c>
      <c r="CR2" t="s">
        <v>197</v>
      </c>
      <c r="CS2" t="s">
        <v>523</v>
      </c>
      <c r="CT2" t="s">
        <v>524</v>
      </c>
      <c r="CU2" t="s">
        <v>525</v>
      </c>
      <c r="CV2" t="s">
        <v>525</v>
      </c>
      <c r="CW2" t="s">
        <v>525</v>
      </c>
      <c r="CX2" t="s">
        <v>525</v>
      </c>
      <c r="CY2" t="s">
        <v>525</v>
      </c>
      <c r="CZ2" t="s">
        <v>525</v>
      </c>
      <c r="DA2" t="s">
        <v>526</v>
      </c>
      <c r="DB2" t="s">
        <v>525</v>
      </c>
      <c r="DC2" t="s">
        <v>197</v>
      </c>
      <c r="DD2" t="s">
        <v>527</v>
      </c>
      <c r="DE2" t="s">
        <v>528</v>
      </c>
      <c r="DF2" t="s">
        <v>529</v>
      </c>
      <c r="DG2" t="s">
        <v>197</v>
      </c>
      <c r="DH2" t="s">
        <v>530</v>
      </c>
      <c r="DI2" t="s">
        <v>531</v>
      </c>
      <c r="DJ2" t="s">
        <v>531</v>
      </c>
      <c r="DK2" t="s">
        <v>531</v>
      </c>
      <c r="DL2" t="s">
        <v>531</v>
      </c>
      <c r="DM2" t="s">
        <v>531</v>
      </c>
      <c r="DN2" t="s">
        <v>531</v>
      </c>
      <c r="DO2" t="s">
        <v>531</v>
      </c>
      <c r="DP2" t="s">
        <v>200</v>
      </c>
      <c r="DQ2" t="s">
        <v>532</v>
      </c>
      <c r="DR2" t="s">
        <v>532</v>
      </c>
      <c r="DS2" t="s">
        <v>532</v>
      </c>
      <c r="DT2" t="s">
        <v>533</v>
      </c>
      <c r="DU2" t="s">
        <v>534</v>
      </c>
      <c r="DV2" t="s">
        <v>200</v>
      </c>
      <c r="DW2" t="s">
        <v>535</v>
      </c>
      <c r="DX2" t="s">
        <v>536</v>
      </c>
      <c r="DY2" t="s">
        <v>537</v>
      </c>
      <c r="DZ2" t="s">
        <v>197</v>
      </c>
      <c r="EA2" t="s">
        <v>538</v>
      </c>
      <c r="EB2" t="s">
        <v>539</v>
      </c>
      <c r="EC2" t="s">
        <v>540</v>
      </c>
      <c r="ED2" t="s">
        <v>200</v>
      </c>
      <c r="EE2" t="s">
        <v>197</v>
      </c>
      <c r="EF2" t="s">
        <v>197</v>
      </c>
      <c r="EG2" t="s">
        <v>197</v>
      </c>
      <c r="EH2" t="s">
        <v>197</v>
      </c>
      <c r="EI2" t="s">
        <v>197</v>
      </c>
      <c r="EJ2" t="s">
        <v>203</v>
      </c>
      <c r="EK2" t="s">
        <v>200</v>
      </c>
      <c r="EL2" t="s">
        <v>200</v>
      </c>
      <c r="EM2" t="s">
        <v>200</v>
      </c>
      <c r="EN2" t="s">
        <v>200</v>
      </c>
      <c r="EO2" t="s">
        <v>200</v>
      </c>
      <c r="EP2" t="s">
        <v>216</v>
      </c>
      <c r="EQ2" t="s">
        <v>200</v>
      </c>
      <c r="ER2" t="s">
        <v>217</v>
      </c>
      <c r="ES2" t="s">
        <v>218</v>
      </c>
      <c r="ET2" t="s">
        <v>452</v>
      </c>
      <c r="EU2" t="s">
        <v>541</v>
      </c>
      <c r="EV2" t="s">
        <v>197</v>
      </c>
      <c r="EW2" t="s">
        <v>221</v>
      </c>
      <c r="EX2" t="s">
        <v>222</v>
      </c>
      <c r="EY2" t="s">
        <v>197</v>
      </c>
      <c r="EZ2" t="s">
        <v>221</v>
      </c>
      <c r="FA2" t="s">
        <v>223</v>
      </c>
      <c r="FB2" t="s">
        <v>197</v>
      </c>
      <c r="FC2" t="s">
        <v>221</v>
      </c>
      <c r="FD2" t="s">
        <v>197</v>
      </c>
      <c r="FE2" t="s">
        <v>224</v>
      </c>
      <c r="FF2" t="s">
        <v>225</v>
      </c>
      <c r="FG2" t="s">
        <v>542</v>
      </c>
      <c r="FH2" t="s">
        <v>543</v>
      </c>
      <c r="FI2" t="s">
        <v>544</v>
      </c>
      <c r="FJ2" t="s">
        <v>545</v>
      </c>
      <c r="FK2" t="s">
        <v>227</v>
      </c>
      <c r="FL2" t="s">
        <v>228</v>
      </c>
      <c r="FM2" t="s">
        <v>216</v>
      </c>
      <c r="FN2" t="s">
        <v>216</v>
      </c>
      <c r="FO2" t="s">
        <v>197</v>
      </c>
      <c r="FP2" t="s">
        <v>197</v>
      </c>
      <c r="FQ2" t="s">
        <v>200</v>
      </c>
      <c r="FR2" t="s">
        <v>197</v>
      </c>
      <c r="FS2" t="s">
        <v>200</v>
      </c>
      <c r="FT2" t="s">
        <v>200</v>
      </c>
      <c r="FU2" t="s">
        <v>197</v>
      </c>
      <c r="FV2" t="s">
        <v>200</v>
      </c>
      <c r="FW2" t="s">
        <v>230</v>
      </c>
      <c r="FX2" t="s">
        <v>200</v>
      </c>
      <c r="FY2" t="s">
        <v>200</v>
      </c>
      <c r="FZ2" t="s">
        <v>200</v>
      </c>
      <c r="GA2" t="s">
        <v>200</v>
      </c>
      <c r="GB2" t="s">
        <v>200</v>
      </c>
      <c r="GC2">
        <v>90</v>
      </c>
      <c r="GD2" t="s">
        <v>200</v>
      </c>
      <c r="GE2" t="s">
        <v>546</v>
      </c>
      <c r="GF2" t="s">
        <v>546</v>
      </c>
      <c r="GG2" t="s">
        <v>547</v>
      </c>
      <c r="GH2" t="s">
        <v>548</v>
      </c>
      <c r="GI2" t="s">
        <v>197</v>
      </c>
      <c r="GJ2" t="s">
        <v>235</v>
      </c>
      <c r="GK2" t="s">
        <v>236</v>
      </c>
      <c r="GL2" t="s">
        <v>200</v>
      </c>
      <c r="GM2" t="s">
        <v>237</v>
      </c>
      <c r="GN2" t="s">
        <v>549</v>
      </c>
      <c r="GO2" t="s">
        <v>239</v>
      </c>
      <c r="GP2" t="s">
        <v>200</v>
      </c>
      <c r="GQ2">
        <v>0.5</v>
      </c>
      <c r="GR2">
        <v>49</v>
      </c>
      <c r="GS2">
        <v>60</v>
      </c>
      <c r="GT2">
        <v>10</v>
      </c>
      <c r="GU2" t="s">
        <v>200</v>
      </c>
      <c r="GV2" t="s">
        <v>241</v>
      </c>
      <c r="GW2" t="s">
        <v>242</v>
      </c>
      <c r="GX2" t="s">
        <v>200</v>
      </c>
      <c r="GY2" t="s">
        <v>216</v>
      </c>
      <c r="GZ2" t="s">
        <v>216</v>
      </c>
      <c r="HA2" t="s">
        <v>200</v>
      </c>
      <c r="HB2" t="s">
        <v>550</v>
      </c>
      <c r="HC2" t="s">
        <v>247</v>
      </c>
      <c r="HD2" t="s">
        <v>245</v>
      </c>
      <c r="HE2" t="s">
        <v>197</v>
      </c>
      <c r="HF2" t="s">
        <v>249</v>
      </c>
      <c r="HG2" t="s">
        <v>250</v>
      </c>
      <c r="HH2" t="s">
        <v>251</v>
      </c>
      <c r="HI2" t="s">
        <v>551</v>
      </c>
      <c r="HJ2" t="s">
        <v>552</v>
      </c>
      <c r="HK2" t="s">
        <v>254</v>
      </c>
      <c r="HL2" t="s">
        <v>255</v>
      </c>
      <c r="HM2" t="s">
        <v>216</v>
      </c>
    </row>
    <row r="3" spans="1:221" x14ac:dyDescent="0.2">
      <c r="E3" t="s">
        <v>293</v>
      </c>
    </row>
    <row r="4" spans="1:221" x14ac:dyDescent="0.2">
      <c r="E4" t="s">
        <v>303</v>
      </c>
    </row>
    <row r="5" spans="1:221" x14ac:dyDescent="0.2">
      <c r="E5" t="s">
        <v>304</v>
      </c>
    </row>
    <row r="6" spans="1:221" x14ac:dyDescent="0.2">
      <c r="E6" t="s">
        <v>307</v>
      </c>
    </row>
    <row r="7" spans="1:221" x14ac:dyDescent="0.2">
      <c r="E7" t="s">
        <v>310</v>
      </c>
    </row>
    <row r="8" spans="1:221" x14ac:dyDescent="0.2">
      <c r="E8" t="s">
        <v>313</v>
      </c>
    </row>
    <row r="9" spans="1:221" x14ac:dyDescent="0.2">
      <c r="E9" t="s">
        <v>317</v>
      </c>
    </row>
    <row r="10" spans="1:221" x14ac:dyDescent="0.2">
      <c r="E10" t="s">
        <v>316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4"/>
  <sheetViews>
    <sheetView workbookViewId="0"/>
  </sheetViews>
  <sheetFormatPr baseColWidth="10" defaultColWidth="8.83203125" defaultRowHeight="15" x14ac:dyDescent="0.2"/>
  <sheetData>
    <row r="1" spans="1:21" x14ac:dyDescent="0.2">
      <c r="A1" t="s">
        <v>3</v>
      </c>
      <c r="B1" t="s">
        <v>261</v>
      </c>
      <c r="C1" t="s">
        <v>5</v>
      </c>
      <c r="D1" t="s">
        <v>262</v>
      </c>
      <c r="E1" t="s">
        <v>263</v>
      </c>
      <c r="F1" t="s">
        <v>264</v>
      </c>
      <c r="G1" t="s">
        <v>266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10</v>
      </c>
      <c r="N1" t="s">
        <v>272</v>
      </c>
      <c r="O1" t="s">
        <v>553</v>
      </c>
      <c r="P1" t="s">
        <v>554</v>
      </c>
      <c r="Q1" t="s">
        <v>273</v>
      </c>
      <c r="R1" t="s">
        <v>274</v>
      </c>
      <c r="S1" t="s">
        <v>275</v>
      </c>
      <c r="T1" t="s">
        <v>276</v>
      </c>
      <c r="U1" t="s">
        <v>265</v>
      </c>
    </row>
    <row r="2" spans="1:21" x14ac:dyDescent="0.2">
      <c r="A2" t="s">
        <v>555</v>
      </c>
      <c r="B2" t="s">
        <v>556</v>
      </c>
      <c r="C2" t="s">
        <v>198</v>
      </c>
      <c r="D2" t="s">
        <v>557</v>
      </c>
      <c r="E2" t="s">
        <v>287</v>
      </c>
      <c r="F2">
        <v>8123456789</v>
      </c>
      <c r="G2" t="s">
        <v>558</v>
      </c>
      <c r="H2" t="s">
        <v>559</v>
      </c>
      <c r="I2" t="s">
        <v>560</v>
      </c>
      <c r="J2" t="s">
        <v>287</v>
      </c>
      <c r="K2">
        <v>81234567890</v>
      </c>
      <c r="L2" t="s">
        <v>561</v>
      </c>
      <c r="M2" t="s">
        <v>562</v>
      </c>
      <c r="N2" t="s">
        <v>563</v>
      </c>
      <c r="O2" t="s">
        <v>564</v>
      </c>
      <c r="P2" t="s">
        <v>565</v>
      </c>
      <c r="Q2" t="s">
        <v>282</v>
      </c>
      <c r="R2" t="s">
        <v>283</v>
      </c>
      <c r="S2" t="s">
        <v>566</v>
      </c>
      <c r="T2" t="s">
        <v>567</v>
      </c>
      <c r="U2" t="s">
        <v>568</v>
      </c>
    </row>
    <row r="3" spans="1:21" x14ac:dyDescent="0.2">
      <c r="A3" t="s">
        <v>569</v>
      </c>
      <c r="B3" t="s">
        <v>570</v>
      </c>
      <c r="C3" t="s">
        <v>571</v>
      </c>
      <c r="D3" t="s">
        <v>572</v>
      </c>
      <c r="E3" t="s">
        <v>287</v>
      </c>
      <c r="F3">
        <v>8123456789</v>
      </c>
      <c r="G3" t="s">
        <v>558</v>
      </c>
      <c r="H3" t="s">
        <v>559</v>
      </c>
      <c r="I3" t="s">
        <v>560</v>
      </c>
      <c r="J3" t="s">
        <v>287</v>
      </c>
      <c r="K3">
        <v>81234567890</v>
      </c>
      <c r="L3" t="s">
        <v>561</v>
      </c>
      <c r="M3" t="s">
        <v>562</v>
      </c>
      <c r="N3" t="s">
        <v>563</v>
      </c>
      <c r="O3" t="s">
        <v>573</v>
      </c>
      <c r="P3" t="s">
        <v>574</v>
      </c>
      <c r="Q3" t="s">
        <v>282</v>
      </c>
      <c r="R3" t="s">
        <v>283</v>
      </c>
      <c r="S3" t="s">
        <v>284</v>
      </c>
      <c r="T3" t="s">
        <v>575</v>
      </c>
      <c r="U3" t="s">
        <v>576</v>
      </c>
    </row>
    <row r="4" spans="1:21" x14ac:dyDescent="0.2">
      <c r="A4" t="s">
        <v>569</v>
      </c>
      <c r="B4" t="s">
        <v>577</v>
      </c>
      <c r="C4" t="s">
        <v>288</v>
      </c>
      <c r="D4" t="s">
        <v>578</v>
      </c>
      <c r="E4" t="s">
        <v>259</v>
      </c>
      <c r="F4">
        <v>8123456789</v>
      </c>
      <c r="G4" t="s">
        <v>558</v>
      </c>
      <c r="H4" t="s">
        <v>559</v>
      </c>
      <c r="I4" t="s">
        <v>560</v>
      </c>
      <c r="J4" t="s">
        <v>287</v>
      </c>
      <c r="K4">
        <v>81234567890</v>
      </c>
      <c r="L4" t="s">
        <v>561</v>
      </c>
      <c r="M4" t="s">
        <v>562</v>
      </c>
      <c r="N4" t="s">
        <v>563</v>
      </c>
      <c r="O4" t="s">
        <v>573</v>
      </c>
      <c r="P4" t="s">
        <v>574</v>
      </c>
      <c r="Q4" t="s">
        <v>282</v>
      </c>
      <c r="R4" t="s">
        <v>283</v>
      </c>
      <c r="S4" t="s">
        <v>284</v>
      </c>
      <c r="T4" t="s">
        <v>575</v>
      </c>
      <c r="U4" t="s">
        <v>576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4"/>
  <sheetViews>
    <sheetView workbookViewId="0"/>
  </sheetViews>
  <sheetFormatPr baseColWidth="10" defaultColWidth="8.83203125" defaultRowHeight="15" x14ac:dyDescent="0.2"/>
  <sheetData>
    <row r="1" spans="1:5" x14ac:dyDescent="0.2">
      <c r="A1" t="s">
        <v>553</v>
      </c>
      <c r="B1" t="s">
        <v>579</v>
      </c>
      <c r="C1" t="s">
        <v>261</v>
      </c>
      <c r="D1" t="s">
        <v>580</v>
      </c>
      <c r="E1" t="s">
        <v>5</v>
      </c>
    </row>
    <row r="2" spans="1:5" x14ac:dyDescent="0.2">
      <c r="A2" t="s">
        <v>581</v>
      </c>
      <c r="B2" t="s">
        <v>565</v>
      </c>
      <c r="C2" t="s">
        <v>582</v>
      </c>
      <c r="D2" t="s">
        <v>583</v>
      </c>
      <c r="E2" t="s">
        <v>198</v>
      </c>
    </row>
    <row r="3" spans="1:5" x14ac:dyDescent="0.2">
      <c r="A3" t="s">
        <v>581</v>
      </c>
      <c r="B3" t="s">
        <v>565</v>
      </c>
      <c r="C3" t="s">
        <v>584</v>
      </c>
      <c r="D3" t="s">
        <v>583</v>
      </c>
      <c r="E3" t="s">
        <v>585</v>
      </c>
    </row>
    <row r="4" spans="1:5" x14ac:dyDescent="0.2">
      <c r="A4" t="s">
        <v>581</v>
      </c>
      <c r="B4" t="s">
        <v>565</v>
      </c>
      <c r="C4" t="s">
        <v>586</v>
      </c>
      <c r="D4" t="s">
        <v>583</v>
      </c>
      <c r="E4" t="s">
        <v>198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2"/>
  <sheetViews>
    <sheetView tabSelected="1" workbookViewId="0">
      <selection activeCell="M23" sqref="M23"/>
    </sheetView>
  </sheetViews>
  <sheetFormatPr baseColWidth="10" defaultColWidth="8.83203125" defaultRowHeight="15" x14ac:dyDescent="0.2"/>
  <sheetData>
    <row r="1" spans="1:105" x14ac:dyDescent="0.2">
      <c r="A1" t="s">
        <v>0</v>
      </c>
      <c r="B1" t="s">
        <v>1</v>
      </c>
      <c r="C1" t="s">
        <v>553</v>
      </c>
      <c r="D1" t="s">
        <v>579</v>
      </c>
      <c r="E1" t="s">
        <v>4</v>
      </c>
      <c r="F1" t="s">
        <v>5</v>
      </c>
      <c r="G1" t="s">
        <v>6</v>
      </c>
      <c r="H1" t="s">
        <v>10</v>
      </c>
      <c r="I1" t="s">
        <v>322</v>
      </c>
      <c r="J1" t="s">
        <v>323</v>
      </c>
      <c r="K1" t="s">
        <v>324</v>
      </c>
      <c r="L1" t="s">
        <v>325</v>
      </c>
      <c r="M1" t="s">
        <v>326</v>
      </c>
      <c r="N1" t="s">
        <v>327</v>
      </c>
      <c r="O1" t="s">
        <v>328</v>
      </c>
      <c r="P1" t="s">
        <v>329</v>
      </c>
      <c r="Q1" t="s">
        <v>330</v>
      </c>
      <c r="R1" t="s">
        <v>331</v>
      </c>
      <c r="S1" t="s">
        <v>332</v>
      </c>
      <c r="T1" t="s">
        <v>333</v>
      </c>
      <c r="U1" t="s">
        <v>334</v>
      </c>
      <c r="V1" t="s">
        <v>335</v>
      </c>
      <c r="W1" t="s">
        <v>336</v>
      </c>
      <c r="X1" t="s">
        <v>337</v>
      </c>
      <c r="Y1" t="s">
        <v>338</v>
      </c>
      <c r="Z1" t="s">
        <v>339</v>
      </c>
      <c r="AA1" t="s">
        <v>340</v>
      </c>
      <c r="AB1" t="s">
        <v>341</v>
      </c>
      <c r="AC1" t="s">
        <v>342</v>
      </c>
      <c r="AD1" t="s">
        <v>343</v>
      </c>
      <c r="AE1" t="s">
        <v>344</v>
      </c>
      <c r="AF1" t="s">
        <v>345</v>
      </c>
      <c r="AG1" t="s">
        <v>346</v>
      </c>
      <c r="AH1" t="s">
        <v>347</v>
      </c>
      <c r="AI1" t="s">
        <v>348</v>
      </c>
      <c r="AJ1" t="s">
        <v>349</v>
      </c>
      <c r="AK1" t="s">
        <v>350</v>
      </c>
      <c r="AL1" t="s">
        <v>351</v>
      </c>
      <c r="AM1" t="s">
        <v>74</v>
      </c>
      <c r="AN1" t="s">
        <v>75</v>
      </c>
      <c r="AO1" t="s">
        <v>352</v>
      </c>
      <c r="AP1" t="s">
        <v>353</v>
      </c>
      <c r="AQ1" t="s">
        <v>354</v>
      </c>
      <c r="AR1" t="s">
        <v>355</v>
      </c>
      <c r="AS1" t="s">
        <v>356</v>
      </c>
      <c r="AT1" t="s">
        <v>357</v>
      </c>
      <c r="AU1" t="s">
        <v>358</v>
      </c>
      <c r="AV1" t="s">
        <v>359</v>
      </c>
      <c r="AW1" t="s">
        <v>360</v>
      </c>
      <c r="AX1" t="s">
        <v>91</v>
      </c>
      <c r="AY1" t="s">
        <v>92</v>
      </c>
      <c r="AZ1" t="s">
        <v>93</v>
      </c>
      <c r="BA1" t="s">
        <v>361</v>
      </c>
      <c r="BB1" t="s">
        <v>95</v>
      </c>
      <c r="BC1" t="s">
        <v>96</v>
      </c>
      <c r="BD1" t="s">
        <v>97</v>
      </c>
      <c r="BE1" t="s">
        <v>362</v>
      </c>
      <c r="BF1" t="s">
        <v>363</v>
      </c>
      <c r="BG1" t="s">
        <v>364</v>
      </c>
      <c r="BH1" t="s">
        <v>365</v>
      </c>
      <c r="BI1" t="s">
        <v>366</v>
      </c>
      <c r="BJ1" t="s">
        <v>367</v>
      </c>
      <c r="BK1" t="s">
        <v>368</v>
      </c>
      <c r="BL1" t="s">
        <v>369</v>
      </c>
      <c r="BM1" t="s">
        <v>370</v>
      </c>
      <c r="BN1" t="s">
        <v>371</v>
      </c>
      <c r="BO1" t="s">
        <v>372</v>
      </c>
      <c r="BP1" t="s">
        <v>373</v>
      </c>
      <c r="BQ1" t="s">
        <v>374</v>
      </c>
      <c r="BR1" t="s">
        <v>375</v>
      </c>
      <c r="BS1" t="s">
        <v>376</v>
      </c>
      <c r="BT1" t="s">
        <v>377</v>
      </c>
      <c r="BU1" t="s">
        <v>378</v>
      </c>
      <c r="BV1" t="s">
        <v>379</v>
      </c>
      <c r="BW1" t="s">
        <v>380</v>
      </c>
      <c r="BX1" t="s">
        <v>381</v>
      </c>
      <c r="BY1" t="s">
        <v>382</v>
      </c>
      <c r="BZ1" t="s">
        <v>383</v>
      </c>
      <c r="CA1" t="s">
        <v>384</v>
      </c>
      <c r="CB1" t="s">
        <v>385</v>
      </c>
      <c r="CC1" t="s">
        <v>386</v>
      </c>
      <c r="CD1" t="s">
        <v>387</v>
      </c>
      <c r="CE1" t="s">
        <v>388</v>
      </c>
      <c r="CF1" t="s">
        <v>389</v>
      </c>
      <c r="CG1" t="s">
        <v>390</v>
      </c>
      <c r="CH1" t="s">
        <v>99</v>
      </c>
      <c r="CI1" t="s">
        <v>100</v>
      </c>
      <c r="CJ1" t="s">
        <v>101</v>
      </c>
      <c r="CK1" t="s">
        <v>102</v>
      </c>
      <c r="CL1" t="s">
        <v>103</v>
      </c>
      <c r="CM1" t="s">
        <v>104</v>
      </c>
      <c r="CN1" t="s">
        <v>105</v>
      </c>
      <c r="CO1" t="s">
        <v>106</v>
      </c>
      <c r="CP1" t="s">
        <v>107</v>
      </c>
      <c r="CQ1" t="s">
        <v>108</v>
      </c>
      <c r="CR1" t="s">
        <v>109</v>
      </c>
      <c r="CS1" t="s">
        <v>110</v>
      </c>
      <c r="CT1" t="s">
        <v>391</v>
      </c>
      <c r="CU1" t="s">
        <v>112</v>
      </c>
      <c r="CV1" t="s">
        <v>113</v>
      </c>
      <c r="CW1" t="s">
        <v>392</v>
      </c>
      <c r="CX1" t="s">
        <v>393</v>
      </c>
      <c r="CY1" t="s">
        <v>394</v>
      </c>
      <c r="CZ1" t="s">
        <v>395</v>
      </c>
      <c r="DA1" t="s">
        <v>396</v>
      </c>
    </row>
    <row r="2" spans="1:105" x14ac:dyDescent="0.2">
      <c r="A2" t="s">
        <v>587</v>
      </c>
      <c r="B2" t="s">
        <v>588</v>
      </c>
      <c r="C2" t="s">
        <v>589</v>
      </c>
      <c r="D2" t="s">
        <v>574</v>
      </c>
      <c r="E2" t="s">
        <v>590</v>
      </c>
      <c r="F2" t="s">
        <v>591</v>
      </c>
      <c r="G2" t="s">
        <v>197</v>
      </c>
      <c r="H2" t="s">
        <v>201</v>
      </c>
      <c r="I2" t="s">
        <v>197</v>
      </c>
      <c r="J2" t="s">
        <v>200</v>
      </c>
      <c r="L2" t="s">
        <v>200</v>
      </c>
      <c r="M2" t="s">
        <v>200</v>
      </c>
      <c r="N2" t="s">
        <v>200</v>
      </c>
      <c r="O2" t="s">
        <v>200</v>
      </c>
      <c r="P2" t="s">
        <v>197</v>
      </c>
      <c r="Q2" t="s">
        <v>197</v>
      </c>
      <c r="R2" t="s">
        <v>197</v>
      </c>
      <c r="S2" t="s">
        <v>399</v>
      </c>
      <c r="T2" t="s">
        <v>399</v>
      </c>
      <c r="U2" t="s">
        <v>399</v>
      </c>
      <c r="V2" t="s">
        <v>399</v>
      </c>
      <c r="W2" t="s">
        <v>399</v>
      </c>
      <c r="X2" t="s">
        <v>399</v>
      </c>
      <c r="Y2" t="s">
        <v>399</v>
      </c>
      <c r="Z2" t="s">
        <v>399</v>
      </c>
      <c r="AA2" t="s">
        <v>399</v>
      </c>
      <c r="AB2" t="s">
        <v>399</v>
      </c>
      <c r="AC2" t="s">
        <v>399</v>
      </c>
      <c r="AD2" t="s">
        <v>399</v>
      </c>
      <c r="AE2" t="s">
        <v>399</v>
      </c>
      <c r="AF2" t="s">
        <v>399</v>
      </c>
      <c r="AG2" t="s">
        <v>399</v>
      </c>
      <c r="AH2" t="s">
        <v>399</v>
      </c>
      <c r="AI2" t="s">
        <v>399</v>
      </c>
      <c r="AJ2" t="s">
        <v>399</v>
      </c>
      <c r="AK2" t="s">
        <v>197</v>
      </c>
      <c r="AL2" t="s">
        <v>197</v>
      </c>
      <c r="AM2">
        <v>5</v>
      </c>
      <c r="AN2">
        <v>100</v>
      </c>
      <c r="AO2" t="s">
        <v>400</v>
      </c>
      <c r="AP2" t="s">
        <v>216</v>
      </c>
      <c r="AQ2" t="s">
        <v>197</v>
      </c>
      <c r="AR2" t="s">
        <v>401</v>
      </c>
      <c r="AS2" t="s">
        <v>197</v>
      </c>
      <c r="AT2" t="s">
        <v>197</v>
      </c>
      <c r="AU2" t="s">
        <v>197</v>
      </c>
      <c r="AV2">
        <v>10</v>
      </c>
      <c r="AW2" t="s">
        <v>197</v>
      </c>
      <c r="AX2" t="s">
        <v>203</v>
      </c>
      <c r="AY2" t="s">
        <v>197</v>
      </c>
      <c r="AZ2" t="s">
        <v>197</v>
      </c>
      <c r="BA2" t="s">
        <v>197</v>
      </c>
      <c r="BB2" t="s">
        <v>197</v>
      </c>
      <c r="BC2" t="s">
        <v>197</v>
      </c>
      <c r="BD2" t="s">
        <v>216</v>
      </c>
      <c r="BE2" t="s">
        <v>197</v>
      </c>
      <c r="BF2" t="s">
        <v>399</v>
      </c>
      <c r="BG2" t="s">
        <v>197</v>
      </c>
      <c r="BH2">
        <v>2900</v>
      </c>
      <c r="BI2">
        <v>6000</v>
      </c>
      <c r="BJ2" t="s">
        <v>197</v>
      </c>
      <c r="BK2">
        <v>80</v>
      </c>
      <c r="BL2">
        <v>90</v>
      </c>
      <c r="BM2" t="s">
        <v>197</v>
      </c>
      <c r="BN2" t="s">
        <v>197</v>
      </c>
      <c r="BO2" t="s">
        <v>245</v>
      </c>
      <c r="BP2" t="s">
        <v>245</v>
      </c>
      <c r="BQ2" t="s">
        <v>245</v>
      </c>
      <c r="BR2" t="s">
        <v>197</v>
      </c>
      <c r="BS2" t="s">
        <v>197</v>
      </c>
      <c r="BT2" t="s">
        <v>245</v>
      </c>
      <c r="BU2" t="s">
        <v>197</v>
      </c>
      <c r="BV2" t="s">
        <v>245</v>
      </c>
      <c r="BW2" t="s">
        <v>197</v>
      </c>
      <c r="BX2" t="s">
        <v>245</v>
      </c>
      <c r="BY2" t="s">
        <v>197</v>
      </c>
      <c r="BZ2" t="s">
        <v>200</v>
      </c>
      <c r="CA2" t="s">
        <v>197</v>
      </c>
      <c r="CB2" t="s">
        <v>592</v>
      </c>
      <c r="CC2" t="s">
        <v>197</v>
      </c>
      <c r="CD2" t="s">
        <v>593</v>
      </c>
      <c r="CE2" t="s">
        <v>216</v>
      </c>
      <c r="CF2" t="s">
        <v>594</v>
      </c>
      <c r="CG2" t="s">
        <v>197</v>
      </c>
      <c r="CH2" t="s">
        <v>217</v>
      </c>
      <c r="CI2" t="s">
        <v>218</v>
      </c>
      <c r="CJ2" t="s">
        <v>452</v>
      </c>
      <c r="CK2" t="s">
        <v>220</v>
      </c>
      <c r="CL2" t="s">
        <v>197</v>
      </c>
      <c r="CM2" t="s">
        <v>221</v>
      </c>
      <c r="CN2" t="s">
        <v>222</v>
      </c>
      <c r="CO2" t="s">
        <v>197</v>
      </c>
      <c r="CP2" t="s">
        <v>260</v>
      </c>
      <c r="CQ2" t="s">
        <v>455</v>
      </c>
      <c r="CR2" t="s">
        <v>197</v>
      </c>
      <c r="CS2" t="s">
        <v>221</v>
      </c>
      <c r="CT2" t="s">
        <v>197</v>
      </c>
      <c r="CU2" t="s">
        <v>224</v>
      </c>
      <c r="CV2" t="s">
        <v>225</v>
      </c>
      <c r="CW2" t="s">
        <v>403</v>
      </c>
      <c r="CX2" t="s">
        <v>216</v>
      </c>
      <c r="CY2" t="s">
        <v>216</v>
      </c>
      <c r="CZ2" t="s">
        <v>197</v>
      </c>
      <c r="DA2" t="s">
        <v>217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persiapan</vt:lpstr>
      <vt:lpstr>pendaftaran_umum</vt:lpstr>
      <vt:lpstr>konfirm_kehadiran</vt:lpstr>
      <vt:lpstr>anak</vt:lpstr>
      <vt:lpstr>remaja</vt:lpstr>
      <vt:lpstr>dewasa</vt:lpstr>
      <vt:lpstr>lansia</vt:lpstr>
      <vt:lpstr>pendaftaran_sekolah</vt:lpstr>
      <vt:lpstr>konfirm_kehadiran_sekolah</vt:lpstr>
      <vt:lpstr>pelayanan_sekolah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2026-09-19T22:12:08Z</dcterms:created>
  <dcterms:modified xsi:type="dcterms:W3CDTF">2026-09-27T20:21:56Z</dcterms:modified>
</cp:coreProperties>
</file>